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ORI" sheetId="1" r:id="rId5"/>
    <sheet state="visible" name="Fattori" sheetId="2" r:id="rId6"/>
    <sheet state="visible" name="Settori&amp;Mktcap" sheetId="3" r:id="rId7"/>
    <sheet state="visible" name="Motore" sheetId="4" r:id="rId8"/>
    <sheet state="visible" name="Monitor Etfs" sheetId="5" r:id="rId9"/>
    <sheet state="hidden" name="Foglio4" sheetId="6" r:id="rId10"/>
  </sheets>
  <definedNames/>
  <calcPr/>
</workbook>
</file>

<file path=xl/sharedStrings.xml><?xml version="1.0" encoding="utf-8"?>
<sst xmlns="http://schemas.openxmlformats.org/spreadsheetml/2006/main" count="606" uniqueCount="429">
  <si>
    <t>formula alternat.</t>
  </si>
  <si>
    <t xml:space="preserve">Relative Alpha ratio </t>
  </si>
  <si>
    <t>Rar Day</t>
  </si>
  <si>
    <t>Rar week</t>
  </si>
  <si>
    <t>Rar month</t>
  </si>
  <si>
    <t>Rar quarter</t>
  </si>
  <si>
    <t>Rar SixM</t>
  </si>
  <si>
    <t>Rar Year</t>
  </si>
  <si>
    <t xml:space="preserve">Ra/momentum </t>
  </si>
  <si>
    <t>Coerenza trend</t>
  </si>
  <si>
    <t xml:space="preserve">Classifica </t>
  </si>
  <si>
    <t>Δ-RS (5d)</t>
  </si>
  <si>
    <t xml:space="preserve">Situazione </t>
  </si>
  <si>
    <t xml:space="preserve">Operatività </t>
  </si>
  <si>
    <t>Trend 20gg</t>
  </si>
  <si>
    <t>XLK</t>
  </si>
  <si>
    <t>XLY</t>
  </si>
  <si>
    <t>XLF</t>
  </si>
  <si>
    <t>XLC</t>
  </si>
  <si>
    <t>XLV</t>
  </si>
  <si>
    <t>XLP</t>
  </si>
  <si>
    <t>XLI</t>
  </si>
  <si>
    <t>XLE</t>
  </si>
  <si>
    <t>XLB</t>
  </si>
  <si>
    <t>XLU</t>
  </si>
  <si>
    <t>XLRE</t>
  </si>
  <si>
    <t>SPY</t>
  </si>
  <si>
    <t>ticker</t>
  </si>
  <si>
    <t>Nome Etf</t>
  </si>
  <si>
    <t>Prezzo corrente</t>
  </si>
  <si>
    <t>Var. % giornaliera</t>
  </si>
  <si>
    <t>Var. % settimanale</t>
  </si>
  <si>
    <t>Var. % mensile</t>
  </si>
  <si>
    <t>Var. % trimestrale</t>
  </si>
  <si>
    <t>Var.%semestrale</t>
  </si>
  <si>
    <t>Var. % Ytd</t>
  </si>
  <si>
    <t>Var. % annuale</t>
  </si>
  <si>
    <t>Var. % 2 anni</t>
  </si>
  <si>
    <t>Var. % 3 anni</t>
  </si>
  <si>
    <t>Var. % 5 anni</t>
  </si>
  <si>
    <t>Var.% 10 anni</t>
  </si>
  <si>
    <t>Var. % 20 anni</t>
  </si>
  <si>
    <t>Utilizzare FundFlow e Aum come indicatore di interesse/disinteresse sui settori.</t>
  </si>
  <si>
    <t>| CATEGORIA            | CONDIZIONE / FILTRO                                                            | SIGNIFICATO / INTERPRETAZIONE                                                | COMMENTO OPERATIVO                                |</t>
  </si>
  <si>
    <t>| ETF selezionabili      | AUM &gt; $5 miliardi                                                                    | Solo ETF liquidi e seguiti dagli istituzionali                                         | SPY, QQQ, XLK, XLV, ecc.                           |</t>
  </si>
  <si>
    <t xml:space="preserve">|   Volume medio         |   &gt; 1M giornaliero                                                                     | Evita rumore da ETF illiquidi                                    </t>
  </si>
  <si>
    <t>| Flusso Anomalo       | Fund Flow &gt; ±2% dell’AUM in 1 giorno                                      | Segnale forte di ingresso/uscita capitale                                          | Va tracciato e confermato                          |</t>
  </si>
  <si>
    <r>
      <rPr>
        <rFont val="Arial"/>
        <color theme="1"/>
        <sz val="9.0"/>
      </rPr>
      <t xml:space="preserve">| Divergenza AUM       | AUM sale/scende ma prezzo va nella direzione opposta        | </t>
    </r>
    <r>
      <rPr>
        <rFont val="Arial"/>
        <b/>
        <color rgb="FFE69138"/>
        <sz val="9.0"/>
      </rPr>
      <t>Possibile segnale contrarian o accumulo/distribuzione nascosta</t>
    </r>
    <r>
      <rPr>
        <rFont val="Arial"/>
        <color theme="1"/>
        <sz val="9.0"/>
      </rPr>
      <t xml:space="preserve">     | Osservare evoluzione nei giorni successivi         |</t>
    </r>
  </si>
  <si>
    <r>
      <rPr>
        <rFont val="Arial"/>
        <color theme="1"/>
        <sz val="9.0"/>
      </rPr>
      <t xml:space="preserve">| Combinazione 1       | Prezzo in calo + Afflussi forti                                                     | </t>
    </r>
    <r>
      <rPr>
        <rFont val="Arial"/>
        <b/>
        <color rgb="FF38761D"/>
        <sz val="9.0"/>
      </rPr>
      <t>Accumulo istituzionale, contrarian bullish</t>
    </r>
    <r>
      <rPr>
        <rFont val="Arial"/>
        <color theme="1"/>
        <sz val="9.0"/>
      </rPr>
      <t xml:space="preserve">                                         | Potenziale bottom, osservare follow-through        |</t>
    </r>
  </si>
  <si>
    <r>
      <rPr>
        <rFont val="Arial"/>
        <color theme="1"/>
        <sz val="9.0"/>
      </rPr>
      <t xml:space="preserve">| Combinazione 2       | Prezzo in rialzo + Deflussi forti                                                | </t>
    </r>
    <r>
      <rPr>
        <rFont val="Arial"/>
        <b/>
        <color rgb="FFFF0000"/>
        <sz val="9.0"/>
      </rPr>
      <t>Distribuzione, riduzione esposizione</t>
    </r>
    <r>
      <rPr>
        <rFont val="Arial"/>
        <color theme="1"/>
        <sz val="9.0"/>
      </rPr>
      <t xml:space="preserve">                                                  | Potenziale esaurimento rally                       |</t>
    </r>
  </si>
  <si>
    <t>| Combinazione 3       | AUM in calo costante + prezzo stabile                                      | Perdita d’interesse, rotazione lenta                                                      | Bearish debole, trend in deterioramento            |</t>
  </si>
  <si>
    <t>| Combinazione 4       | AUM picco dopo rally forte                                                       | Capitale "late" in entrata                                                                    | Segnale contrarian, attenzione a top di breve      |</t>
  </si>
  <si>
    <t>| Combinazione 5       | Flussi elevati senza notizie macro evidenti                             | Mossa istituzionale o anticipazione informata                                   | Va monitorata con molta attenzione                 |</t>
  </si>
  <si>
    <t xml:space="preserve">Rotazionali su Momentum </t>
  </si>
  <si>
    <t xml:space="preserve"> : si compra il migliore sul momentum e si vende il peggiore in PTF in base alla tabella </t>
  </si>
  <si>
    <t>al 22.01</t>
  </si>
  <si>
    <t>changepct</t>
  </si>
  <si>
    <t>Classifica</t>
  </si>
  <si>
    <t>xlb</t>
  </si>
  <si>
    <t>CAMBIO</t>
  </si>
  <si>
    <t xml:space="preserve">Fattori </t>
  </si>
  <si>
    <t xml:space="preserve">Variaz .%  YTD </t>
  </si>
  <si>
    <t>Var.% 10anni</t>
  </si>
  <si>
    <t>LON:MVOL</t>
  </si>
  <si>
    <t>Minimum Volat.</t>
  </si>
  <si>
    <t>LON:IWQU</t>
  </si>
  <si>
    <t>World Quality</t>
  </si>
  <si>
    <t>LON:IWMO</t>
  </si>
  <si>
    <t>World Momentum</t>
  </si>
  <si>
    <t>LON:IWVL</t>
  </si>
  <si>
    <t>World Value</t>
  </si>
  <si>
    <t>LON:WOSC</t>
  </si>
  <si>
    <t>World Small Cap</t>
  </si>
  <si>
    <t>LON:SWDA</t>
  </si>
  <si>
    <t>Msci World</t>
  </si>
  <si>
    <t>LON:IQSA</t>
  </si>
  <si>
    <t>Multifactor</t>
  </si>
  <si>
    <t>I rendimenti degli ETF sopra sono espressi in €uro, quindi differiscono in % dagli omologhi prezzati in $dollari.  Inoltre i fattori del World non hanno lo stesso andamento di quelli USA.</t>
  </si>
  <si>
    <t>Select Sector SPDR ETFs - primi 5 titoli di ogni settore e relativa percentuale su MarketCap dell'indice S&amp;P 500</t>
  </si>
  <si>
    <t xml:space="preserve">Titoli </t>
  </si>
  <si>
    <t>MktCap Billions</t>
  </si>
  <si>
    <t>% su SP mktcap</t>
  </si>
  <si>
    <t>S&amp;P 500 indice</t>
  </si>
  <si>
    <t xml:space="preserve">  Market cap al 29/10/2025</t>
  </si>
  <si>
    <t>Communication</t>
  </si>
  <si>
    <t>XLC         22</t>
  </si>
  <si>
    <t>billions(miliardi)</t>
  </si>
  <si>
    <t>alphabet a</t>
  </si>
  <si>
    <t>alphabet c</t>
  </si>
  <si>
    <t>meta</t>
  </si>
  <si>
    <t>SOCIETA' CON  MARKETCAP &gt; 1Trillion</t>
  </si>
  <si>
    <t>Nflx</t>
  </si>
  <si>
    <t>Warner Bros</t>
  </si>
  <si>
    <t>Discrezionali</t>
  </si>
  <si>
    <t>XLY         52</t>
  </si>
  <si>
    <t>amazon</t>
  </si>
  <si>
    <t>tesla</t>
  </si>
  <si>
    <t>home depot</t>
  </si>
  <si>
    <t>mc donald's</t>
  </si>
  <si>
    <t>TJX</t>
  </si>
  <si>
    <t>Consum. staples</t>
  </si>
  <si>
    <t>XLP        38</t>
  </si>
  <si>
    <r>
      <rPr>
        <rFont val="Roboto-Regular, Arial, Helvetica, sans-serif"/>
        <b/>
        <color rgb="FF000000"/>
        <sz val="9.0"/>
        <u/>
      </rPr>
      <t>WMT</t>
    </r>
  </si>
  <si>
    <r>
      <rPr>
        <rFont val="Roboto-Regular, Arial, Helvetica, sans-serif"/>
        <b/>
        <color rgb="FF000000"/>
        <sz val="9.0"/>
        <u/>
      </rPr>
      <t>COST</t>
    </r>
  </si>
  <si>
    <r>
      <rPr>
        <rFont val="Roboto-Regular, Arial, Helvetica, sans-serif"/>
        <b/>
        <color rgb="FF000000"/>
        <sz val="9.0"/>
        <u/>
      </rPr>
      <t>PG</t>
    </r>
  </si>
  <si>
    <r>
      <rPr>
        <rFont val="Roboto-Regular, Arial, Helvetica, sans-serif"/>
        <b/>
        <color rgb="FF000000"/>
        <sz val="9.0"/>
        <u/>
      </rPr>
      <t>KO</t>
    </r>
  </si>
  <si>
    <t>PM</t>
  </si>
  <si>
    <t>Energy</t>
  </si>
  <si>
    <t>XLE        22</t>
  </si>
  <si>
    <t>Exxon</t>
  </si>
  <si>
    <t>Chevron</t>
  </si>
  <si>
    <t>conoco phillips</t>
  </si>
  <si>
    <t>The Williams Co.</t>
  </si>
  <si>
    <t>Marathon Petr.</t>
  </si>
  <si>
    <t>Financial</t>
  </si>
  <si>
    <t>XLF        71</t>
  </si>
  <si>
    <t>berkshire</t>
  </si>
  <si>
    <t>jp morgan</t>
  </si>
  <si>
    <t>visa</t>
  </si>
  <si>
    <t>mastercard</t>
  </si>
  <si>
    <t>bank of america</t>
  </si>
  <si>
    <t>Healthcare</t>
  </si>
  <si>
    <t>XLV        63</t>
  </si>
  <si>
    <t>ely lilly</t>
  </si>
  <si>
    <t>johnson &amp; johns.</t>
  </si>
  <si>
    <t>abbvie</t>
  </si>
  <si>
    <t>unitedhealth</t>
  </si>
  <si>
    <t>merck</t>
  </si>
  <si>
    <r>
      <rPr>
        <color rgb="FF1155CC"/>
        <u/>
      </rPr>
      <t>XLV ETF Financial Ratios from Holdings | Composite Fundamental Summary</t>
    </r>
  </si>
  <si>
    <t>Industrial</t>
  </si>
  <si>
    <t>XLI          78</t>
  </si>
  <si>
    <t>ge aerospace</t>
  </si>
  <si>
    <t>caterpillar</t>
  </si>
  <si>
    <t>rtx</t>
  </si>
  <si>
    <t>uber</t>
  </si>
  <si>
    <t>GEV</t>
  </si>
  <si>
    <t>Materials</t>
  </si>
  <si>
    <t>XLB        28</t>
  </si>
  <si>
    <t>linde</t>
  </si>
  <si>
    <t>sherwin willliams</t>
  </si>
  <si>
    <t xml:space="preserve">newmont </t>
  </si>
  <si>
    <t>ecolab</t>
  </si>
  <si>
    <t>nucor corp.</t>
  </si>
  <si>
    <t>Real Estate</t>
  </si>
  <si>
    <t>XLRE      31</t>
  </si>
  <si>
    <t>welltower</t>
  </si>
  <si>
    <t>prologis</t>
  </si>
  <si>
    <t>american tower</t>
  </si>
  <si>
    <t>equinix</t>
  </si>
  <si>
    <t>simon property</t>
  </si>
  <si>
    <t>Technology</t>
  </si>
  <si>
    <t>XLK        67</t>
  </si>
  <si>
    <t>nvidia</t>
  </si>
  <si>
    <t>apple</t>
  </si>
  <si>
    <t>microsoft</t>
  </si>
  <si>
    <t>broadcom</t>
  </si>
  <si>
    <t>palantir</t>
  </si>
  <si>
    <t>Utilities</t>
  </si>
  <si>
    <t>XLU        31</t>
  </si>
  <si>
    <t>nextera</t>
  </si>
  <si>
    <t>constellation en</t>
  </si>
  <si>
    <t>southern co</t>
  </si>
  <si>
    <t>duke energy</t>
  </si>
  <si>
    <t>aep</t>
  </si>
  <si>
    <t>al 2025 il peso di Technology+communications è del 52% sul totale indice</t>
  </si>
  <si>
    <t>Mio calc.P/E</t>
  </si>
  <si>
    <t>eps oct 24 196,76</t>
  </si>
  <si>
    <r>
      <rPr>
        <rFont val="Arial"/>
        <color theme="1"/>
      </rPr>
      <t xml:space="preserve">tot titoli </t>
    </r>
    <r>
      <rPr>
        <rFont val="Arial"/>
        <b/>
        <color theme="1"/>
      </rPr>
      <t>502</t>
    </r>
  </si>
  <si>
    <t xml:space="preserve">fw eps 267 sep.24 secondo Carson </t>
  </si>
  <si>
    <t>241 secodo Ycharts</t>
  </si>
  <si>
    <t>Le prime 5 aziende di ogni settore, insieme capitalizzano il :</t>
  </si>
  <si>
    <r>
      <rPr>
        <rFont val="Arial"/>
        <b/>
        <color rgb="FF5B0F00"/>
        <sz val="12.0"/>
      </rPr>
      <t>%</t>
    </r>
    <r>
      <rPr>
        <rFont val="Arial"/>
        <b/>
        <color rgb="FF5B0F00"/>
        <sz val="11.0"/>
      </rPr>
      <t xml:space="preserve"> </t>
    </r>
    <r>
      <rPr>
        <rFont val="Arial"/>
        <b/>
        <color theme="1"/>
      </rPr>
      <t>dell'intero indice S&amp;p 500</t>
    </r>
  </si>
  <si>
    <t>Guru Focus Sp 500 P/E Ratio</t>
  </si>
  <si>
    <t>Fw /P/E tra</t>
  </si>
  <si>
    <r>
      <rPr/>
      <t>S&amp;P 500 Index - 90 Year Historical Chart | MacroTrends</t>
    </r>
  </si>
  <si>
    <t>dati al 04/09/2024</t>
  </si>
  <si>
    <t>Year</t>
  </si>
  <si>
    <t>Average
Closing Price</t>
  </si>
  <si>
    <t>Year High</t>
  </si>
  <si>
    <t>Year Low</t>
  </si>
  <si>
    <t>Year Close</t>
  </si>
  <si>
    <t>Annual
% Change</t>
  </si>
  <si>
    <t>Diff H-L</t>
  </si>
  <si>
    <t>Percent</t>
  </si>
  <si>
    <t>5,389.98</t>
  </si>
  <si>
    <t>18.42%</t>
  </si>
  <si>
    <t>S&amp;P 500 P/E Ratio</t>
  </si>
  <si>
    <t>4,283.73</t>
  </si>
  <si>
    <t>4,769.83</t>
  </si>
  <si>
    <t>24.23%</t>
  </si>
  <si>
    <t>Date</t>
  </si>
  <si>
    <t>Value</t>
  </si>
  <si>
    <t>4,097.49</t>
  </si>
  <si>
    <t>3,839.50</t>
  </si>
  <si>
    <t>-19.44%</t>
  </si>
  <si>
    <t>Oct. 29,2024</t>
  </si>
  <si>
    <t>4,273.41</t>
  </si>
  <si>
    <t>4,766.18</t>
  </si>
  <si>
    <t>26.89%</t>
  </si>
  <si>
    <t>March 31, 2024</t>
  </si>
  <si>
    <t>Dec. 31, 2017</t>
  </si>
  <si>
    <t>3,217.86</t>
  </si>
  <si>
    <t>3,756.07</t>
  </si>
  <si>
    <t>16.26%</t>
  </si>
  <si>
    <t>Dec. 31, 2023</t>
  </si>
  <si>
    <t>Sept. 30, 2017</t>
  </si>
  <si>
    <t>2,913.36</t>
  </si>
  <si>
    <t>3,230.78</t>
  </si>
  <si>
    <t>28.88%</t>
  </si>
  <si>
    <t>Sept. 30, 2023</t>
  </si>
  <si>
    <t>June 30, 2017</t>
  </si>
  <si>
    <t>2,746.21</t>
  </si>
  <si>
    <t>2,506.85</t>
  </si>
  <si>
    <t>-6.24%</t>
  </si>
  <si>
    <t>June 30, 2023</t>
  </si>
  <si>
    <t>March 31, 2017</t>
  </si>
  <si>
    <t>2,449.08</t>
  </si>
  <si>
    <t>2,673.61</t>
  </si>
  <si>
    <t>19.42%</t>
  </si>
  <si>
    <t>March 31, 2023</t>
  </si>
  <si>
    <t>Dec. 31, 2016</t>
  </si>
  <si>
    <t>2,094.65</t>
  </si>
  <si>
    <t>2,238.83</t>
  </si>
  <si>
    <t>9.54%</t>
  </si>
  <si>
    <t>Dec. 31, 2022</t>
  </si>
  <si>
    <t>Sept. 30, 2016</t>
  </si>
  <si>
    <t>2,061.07</t>
  </si>
  <si>
    <t>2,043.94</t>
  </si>
  <si>
    <t>-0.73%</t>
  </si>
  <si>
    <t>September 30, 2022</t>
  </si>
  <si>
    <t>June 30, 2016</t>
  </si>
  <si>
    <t>1,931.38</t>
  </si>
  <si>
    <t>2,058.90</t>
  </si>
  <si>
    <t>11.39%</t>
  </si>
  <si>
    <t>June 30, 2022</t>
  </si>
  <si>
    <t>March 31, 2016</t>
  </si>
  <si>
    <t>1,643.80</t>
  </si>
  <si>
    <t>1,848.36</t>
  </si>
  <si>
    <t>29.60%</t>
  </si>
  <si>
    <t>March 31, 2022</t>
  </si>
  <si>
    <t>Dec. 31, 2015</t>
  </si>
  <si>
    <t>1,379.61</t>
  </si>
  <si>
    <t>1,426.19</t>
  </si>
  <si>
    <t>13.41%</t>
  </si>
  <si>
    <t>December 31, 2021</t>
  </si>
  <si>
    <t>Sept. 30, 2015</t>
  </si>
  <si>
    <t>1,267.64</t>
  </si>
  <si>
    <t>1,257.60</t>
  </si>
  <si>
    <t>0.00%</t>
  </si>
  <si>
    <t>September 30, 2021</t>
  </si>
  <si>
    <t>June 30, 2015</t>
  </si>
  <si>
    <t>1,139.97</t>
  </si>
  <si>
    <t>1,257.64</t>
  </si>
  <si>
    <t>12.78%</t>
  </si>
  <si>
    <t>June 30, 2021</t>
  </si>
  <si>
    <t>March 31, 2015</t>
  </si>
  <si>
    <t>1,115.10</t>
  </si>
  <si>
    <t>23.45%</t>
  </si>
  <si>
    <t>March 31, 2021</t>
  </si>
  <si>
    <t>Dec. 31, 2014</t>
  </si>
  <si>
    <t>1,220.04</t>
  </si>
  <si>
    <t>-38.49%</t>
  </si>
  <si>
    <t>Dec. 31, 2020</t>
  </si>
  <si>
    <t>September 30, 2014</t>
  </si>
  <si>
    <t>1,477.18</t>
  </si>
  <si>
    <t>1,468.36</t>
  </si>
  <si>
    <t>3.53%</t>
  </si>
  <si>
    <t>September 30, 2020</t>
  </si>
  <si>
    <t>June 30, 2014</t>
  </si>
  <si>
    <t>1,310.46</t>
  </si>
  <si>
    <t>1,418.30</t>
  </si>
  <si>
    <t>13.62%</t>
  </si>
  <si>
    <t>June 30, 2020</t>
  </si>
  <si>
    <t>March 31, 2014</t>
  </si>
  <si>
    <t>1,207.23</t>
  </si>
  <si>
    <t>1,248.29</t>
  </si>
  <si>
    <t>3.00%</t>
  </si>
  <si>
    <t>March 31, 2020</t>
  </si>
  <si>
    <t>Dec. 31, 2013</t>
  </si>
  <si>
    <t>1,130.65</t>
  </si>
  <si>
    <t>1,211.92</t>
  </si>
  <si>
    <t>8.99%</t>
  </si>
  <si>
    <t>December 31, 2019</t>
  </si>
  <si>
    <t>September 30, 2013</t>
  </si>
  <si>
    <t>1,111.92</t>
  </si>
  <si>
    <t>26.38%</t>
  </si>
  <si>
    <t>September 30, 2019</t>
  </si>
  <si>
    <t>June 30, 2013</t>
  </si>
  <si>
    <t>-23.37%</t>
  </si>
  <si>
    <t>June 30, 2019</t>
  </si>
  <si>
    <t>March 31, 2013</t>
  </si>
  <si>
    <t>1,192.57</t>
  </si>
  <si>
    <t>1,148.08</t>
  </si>
  <si>
    <t>-13.04%</t>
  </si>
  <si>
    <t>March 31, 2019</t>
  </si>
  <si>
    <t>December 31, 2012</t>
  </si>
  <si>
    <t>1,427.22</t>
  </si>
  <si>
    <t>1,320.28</t>
  </si>
  <si>
    <t>-10.14%</t>
  </si>
  <si>
    <t>December 31, 2018</t>
  </si>
  <si>
    <t>September 30, 2012</t>
  </si>
  <si>
    <t>1,327.33</t>
  </si>
  <si>
    <t>1,469.25</t>
  </si>
  <si>
    <t>19.53%</t>
  </si>
  <si>
    <t>September 30, 2018</t>
  </si>
  <si>
    <t>June 30, 2012</t>
  </si>
  <si>
    <t>1,085.50</t>
  </si>
  <si>
    <t>1,241.81</t>
  </si>
  <si>
    <t>1,229.23</t>
  </si>
  <si>
    <t>26.67%</t>
  </si>
  <si>
    <t>June 30, 2018</t>
  </si>
  <si>
    <t>March 31, 2012</t>
  </si>
  <si>
    <t>31.01%</t>
  </si>
  <si>
    <t>March 31, 2018</t>
  </si>
  <si>
    <t>Dec. 31, 2011</t>
  </si>
  <si>
    <t>20.26%</t>
  </si>
  <si>
    <t>Mediana 25y</t>
  </si>
  <si>
    <t>Media  25y</t>
  </si>
  <si>
    <t>34.11%</t>
  </si>
  <si>
    <t>-1.54%</t>
  </si>
  <si>
    <t>7.06%</t>
  </si>
  <si>
    <t>4.46%</t>
  </si>
  <si>
    <t>26.31%</t>
  </si>
  <si>
    <t>-6.56%</t>
  </si>
  <si>
    <t>27.25%</t>
  </si>
  <si>
    <t>12.40%</t>
  </si>
  <si>
    <t>2.03%</t>
  </si>
  <si>
    <t>14.62%</t>
  </si>
  <si>
    <t>26.33%</t>
  </si>
  <si>
    <t>1.40%</t>
  </si>
  <si>
    <t>17.27%</t>
  </si>
  <si>
    <t>14.76%</t>
  </si>
  <si>
    <t>-9.73%</t>
  </si>
  <si>
    <t>25.77%</t>
  </si>
  <si>
    <t>12.31%</t>
  </si>
  <si>
    <t>1.06%</t>
  </si>
  <si>
    <t>-11.50%</t>
  </si>
  <si>
    <t>19.15%</t>
  </si>
  <si>
    <t>31.55%</t>
  </si>
  <si>
    <t>-29.72%</t>
  </si>
  <si>
    <t>-17.37%</t>
  </si>
  <si>
    <t>15.63%</t>
  </si>
  <si>
    <t>10.79%</t>
  </si>
  <si>
    <t>0.10%</t>
  </si>
  <si>
    <t>-11.36%</t>
  </si>
  <si>
    <t>7.66%</t>
  </si>
  <si>
    <t>20.09%</t>
  </si>
  <si>
    <t>-13.09%</t>
  </si>
  <si>
    <t>9.06%</t>
  </si>
  <si>
    <t>12.97%</t>
  </si>
  <si>
    <t>18.89%</t>
  </si>
  <si>
    <t>-11.81%</t>
  </si>
  <si>
    <t>23.13%</t>
  </si>
  <si>
    <t>-2.97%</t>
  </si>
  <si>
    <t>8.48%</t>
  </si>
  <si>
    <t>38.06%</t>
  </si>
  <si>
    <t>-14.31%</t>
  </si>
  <si>
    <t>2.62%</t>
  </si>
  <si>
    <t>26.40%</t>
  </si>
  <si>
    <t>45.02%</t>
  </si>
  <si>
    <t>-6.62%</t>
  </si>
  <si>
    <t>11.78%</t>
  </si>
  <si>
    <t>16.46%</t>
  </si>
  <si>
    <t>21.78%</t>
  </si>
  <si>
    <t>10.26%</t>
  </si>
  <si>
    <t>-0.65%</t>
  </si>
  <si>
    <t>-11.87%</t>
  </si>
  <si>
    <t>30.72%</t>
  </si>
  <si>
    <t>13.80%</t>
  </si>
  <si>
    <t>19.45%</t>
  </si>
  <si>
    <t>12.43%</t>
  </si>
  <si>
    <t>-17.86%</t>
  </si>
  <si>
    <t>-15.29%</t>
  </si>
  <si>
    <t>-5.45%</t>
  </si>
  <si>
    <t>25.21%</t>
  </si>
  <si>
    <t>-38.59%</t>
  </si>
  <si>
    <t>27.92%</t>
  </si>
  <si>
    <t>41.37%</t>
  </si>
  <si>
    <t>-5.94%</t>
  </si>
  <si>
    <t>46.59%</t>
  </si>
  <si>
    <t>-15.15%</t>
  </si>
  <si>
    <t>-47.07%</t>
  </si>
  <si>
    <t>-28.48%</t>
  </si>
  <si>
    <t>-11.91%</t>
  </si>
  <si>
    <t>37.88%</t>
  </si>
  <si>
    <t>XLK/SPY</t>
  </si>
  <si>
    <t>XLY/SPY</t>
  </si>
  <si>
    <t>XLF/SPY</t>
  </si>
  <si>
    <t>XLC/SPY</t>
  </si>
  <si>
    <t>XLV/SPY</t>
  </si>
  <si>
    <t>XLP/SPY</t>
  </si>
  <si>
    <t>XLI/SPY</t>
  </si>
  <si>
    <t>XLE/SPY</t>
  </si>
  <si>
    <t>XLB/SPY</t>
  </si>
  <si>
    <t>XLU/SPY</t>
  </si>
  <si>
    <t>XLRE/SPY</t>
  </si>
  <si>
    <t>RS-Mom XLY</t>
  </si>
  <si>
    <t>RS-Mom XLF</t>
  </si>
  <si>
    <t>RS-Mom XLC</t>
  </si>
  <si>
    <t>RS-Mom XLV</t>
  </si>
  <si>
    <t>RS-Mom XLP</t>
  </si>
  <si>
    <t>RS-Mom XLI</t>
  </si>
  <si>
    <t>RS-Mom XLE</t>
  </si>
  <si>
    <t>RS-Mom XLB</t>
  </si>
  <si>
    <t>RS-Mom XLU</t>
  </si>
  <si>
    <t>RS-Mom XLRE</t>
  </si>
  <si>
    <t/>
  </si>
  <si>
    <t>Settori leader</t>
  </si>
  <si>
    <t>Tipo di rally</t>
  </si>
  <si>
    <t xml:space="preserve">Lettura </t>
  </si>
  <si>
    <t>operativa</t>
  </si>
  <si>
    <t>0-2</t>
  </si>
  <si>
    <t>Rally tecnico /</t>
  </si>
  <si>
    <t>short covering</t>
  </si>
  <si>
    <t>ignorare segnali settori</t>
  </si>
  <si>
    <t>Rally stretto /</t>
  </si>
  <si>
    <t>disordinato</t>
  </si>
  <si>
    <t>cautela, no inseguimenti</t>
  </si>
  <si>
    <t>Rally selettivo /</t>
  </si>
  <si>
    <t xml:space="preserve">transizione </t>
  </si>
  <si>
    <t>monitor attivo ma prudente</t>
  </si>
  <si>
    <t xml:space="preserve">Rally sano / </t>
  </si>
  <si>
    <t>partecipato</t>
  </si>
  <si>
    <t>accumulo e size più ampie</t>
  </si>
  <si>
    <t xml:space="preserve">Rally maturo / </t>
  </si>
  <si>
    <t>euforico</t>
  </si>
  <si>
    <t>attenzione a eccessi</t>
  </si>
  <si>
    <t>QQQ</t>
  </si>
  <si>
    <t>RUT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</si>
</sst>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.mm.ss"/>
    <numFmt numFmtId="165" formatCode="h.mm"/>
    <numFmt numFmtId="166" formatCode="[h].mm.ss"/>
    <numFmt numFmtId="167" formatCode="yyyy-mm-dd"/>
    <numFmt numFmtId="168" formatCode="0.00000"/>
    <numFmt numFmtId="169" formatCode="m/d/yyyy h:mm:ss"/>
    <numFmt numFmtId="170" formatCode="d-m"/>
  </numFmts>
  <fonts count="7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sz val="12.0"/>
      <color theme="1"/>
      <name val="Calibri"/>
    </font>
    <font>
      <b/>
      <color rgb="FFCC4125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rgb="FFF3F3F3"/>
      <name val="Calibri"/>
    </font>
    <font>
      <b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rgb="FF181C21"/>
      <name val="Inherit"/>
    </font>
    <font>
      <color rgb="FF007C32"/>
      <name val="Inter"/>
    </font>
    <font>
      <sz val="11.0"/>
      <color rgb="FF141318"/>
      <name val="Poppins"/>
    </font>
    <font>
      <color rgb="FF232526"/>
      <name val="Inter"/>
    </font>
    <font>
      <b/>
      <color rgb="FF007C32"/>
      <name val="Inter"/>
    </font>
    <font>
      <color rgb="FFD91400"/>
      <name val="Inter"/>
    </font>
    <font>
      <b/>
      <color rgb="FFD91400"/>
      <name val="Inter"/>
    </font>
    <font>
      <b/>
      <color rgb="FF232526"/>
      <name val="Inter"/>
    </font>
    <font>
      <b/>
      <color rgb="FFFFFF00"/>
      <name val="Arial"/>
      <scheme val="minor"/>
    </font>
    <font>
      <b/>
      <sz val="18.0"/>
      <color rgb="FFFFFFFF"/>
      <name val="Arial"/>
      <scheme val="minor"/>
    </font>
    <font>
      <b/>
      <sz val="9.0"/>
      <color rgb="FFFFFFFF"/>
      <name val="Arial"/>
      <scheme val="minor"/>
    </font>
    <font>
      <sz val="9.0"/>
      <color rgb="FFFFFFFF"/>
      <name val="Arial"/>
      <scheme val="minor"/>
    </font>
    <font>
      <sz val="8.0"/>
      <color rgb="FFFFFFFF"/>
      <name val="Arial"/>
      <scheme val="minor"/>
    </font>
    <font>
      <b/>
      <sz val="8.0"/>
      <color rgb="FFFFFFFF"/>
      <name val="Arial"/>
      <scheme val="minor"/>
    </font>
    <font>
      <sz val="9.0"/>
      <color rgb="FF000000"/>
      <name val="Arial"/>
      <scheme val="minor"/>
    </font>
    <font>
      <color rgb="FFFF9900"/>
      <name val="Arial"/>
      <scheme val="minor"/>
    </font>
    <font>
      <color rgb="FFFF0000"/>
      <name val="Arial"/>
      <scheme val="minor"/>
    </font>
    <font>
      <b/>
      <u/>
      <sz val="9.0"/>
      <color rgb="FF000000"/>
      <name val="Roboto-Regular"/>
    </font>
    <font>
      <b/>
      <u/>
      <sz val="9.0"/>
      <color rgb="FF000000"/>
      <name val="Arial"/>
    </font>
    <font>
      <b/>
      <sz val="12.0"/>
      <color theme="1"/>
      <name val="Arial"/>
      <scheme val="minor"/>
    </font>
    <font>
      <color rgb="FFFCE5CD"/>
      <name val="Arial"/>
      <scheme val="minor"/>
    </font>
    <font>
      <b/>
      <color rgb="FFFF0000"/>
      <name val="Arial"/>
      <scheme val="minor"/>
    </font>
    <font>
      <sz val="9.0"/>
      <color rgb="FF000000"/>
      <name val="&quot;Google Sans Mono&quot;"/>
    </font>
    <font>
      <u/>
      <color rgb="FF0000FF"/>
    </font>
    <font>
      <sz val="18.0"/>
      <color rgb="FF081131"/>
      <name val="Inter"/>
    </font>
    <font>
      <sz val="9.0"/>
      <color rgb="FF081131"/>
      <name val="Inter"/>
    </font>
    <font>
      <sz val="9.0"/>
      <color rgb="FF081131"/>
      <name val="Arial"/>
    </font>
    <font>
      <sz val="9.0"/>
      <color rgb="FF009F5E"/>
      <name val="Arial"/>
    </font>
    <font>
      <b/>
      <sz val="11.0"/>
      <color rgb="FF38761D"/>
      <name val="Arial"/>
      <scheme val="minor"/>
    </font>
    <font>
      <u/>
      <color rgb="FF0000FF"/>
    </font>
    <font>
      <b/>
      <sz val="12.0"/>
      <color rgb="FF444444"/>
      <name val="Roboto"/>
    </font>
    <font>
      <b/>
      <sz val="12.0"/>
      <color rgb="FF434343"/>
      <name val="Arial"/>
      <scheme val="minor"/>
    </font>
    <font>
      <sz val="12.0"/>
      <color rgb="FF444444"/>
      <name val="Roboto"/>
    </font>
    <font>
      <sz val="12.0"/>
      <color rgb="FF008000"/>
      <name val="Roboto"/>
    </font>
    <font>
      <b/>
      <sz val="11.0"/>
      <color rgb="FF1A1A1A"/>
      <name val="&quot;Roboto Condensed&quot;"/>
    </font>
    <font>
      <sz val="12.0"/>
      <color rgb="FFFF0000"/>
      <name val="Roboto"/>
    </font>
    <font>
      <b/>
      <sz val="11.0"/>
      <color rgb="FF0B5394"/>
      <name val="Roboto"/>
    </font>
    <font>
      <b/>
      <sz val="11.0"/>
      <color rgb="FF0B5394"/>
      <name val="&quot;Roboto Condensed&quot;"/>
    </font>
    <font>
      <sz val="11.0"/>
      <color rgb="FF1A1A1A"/>
      <name val="&quot;Roboto Condensed&quot;"/>
    </font>
    <font>
      <b/>
      <sz val="11.0"/>
      <color rgb="FF351C75"/>
      <name val="&quot;Roboto Condensed&quot;"/>
    </font>
    <font>
      <b/>
      <sz val="11.0"/>
      <color rgb="FF434343"/>
      <name val="Arial"/>
      <scheme val="minor"/>
    </font>
    <font>
      <sz val="9.0"/>
      <color rgb="FFF3F3F5"/>
      <name val="Inter"/>
    </font>
    <font>
      <sz val="12.0"/>
      <color theme="1"/>
      <name val="Roboto-Regular"/>
    </font>
    <font>
      <sz val="12.0"/>
      <color rgb="FF242424"/>
      <name val="Roboto-Regular"/>
    </font>
    <font>
      <sz val="12.0"/>
      <color rgb="FF1A8136"/>
      <name val="Roboto-Regular"/>
    </font>
    <font>
      <b/>
      <color rgb="FFF9CB9C"/>
      <name val="Arial"/>
      <scheme val="minor"/>
    </font>
    <font>
      <b/>
      <color rgb="FF38761D"/>
      <name val="Arial"/>
      <scheme val="minor"/>
    </font>
    <font>
      <b/>
      <color rgb="FFB45F06"/>
      <name val="Arial"/>
      <scheme val="minor"/>
    </font>
    <font>
      <b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1155CC"/>
        <bgColor rgb="FF1155CC"/>
      </patternFill>
    </fill>
    <fill>
      <patternFill patternType="solid">
        <fgColor rgb="FFE6E6E6"/>
        <bgColor rgb="FFE6E6E6"/>
      </patternFill>
    </fill>
    <fill>
      <patternFill patternType="solid">
        <fgColor rgb="FFD9D2E9"/>
        <bgColor rgb="FFD9D2E9"/>
      </patternFill>
    </fill>
    <fill>
      <patternFill patternType="solid">
        <fgColor rgb="FFF5F5F5"/>
        <bgColor rgb="FFF5F5F5"/>
      </patternFill>
    </fill>
    <fill>
      <patternFill patternType="solid">
        <fgColor rgb="FFB7E1CD"/>
        <bgColor rgb="FFB7E1CD"/>
      </patternFill>
    </fill>
    <fill>
      <patternFill patternType="solid">
        <fgColor rgb="FF434343"/>
        <bgColor rgb="FF434343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C4C4C4"/>
      </bottom>
    </border>
    <border>
      <top style="thin">
        <color rgb="FFDDDDDD"/>
      </top>
      <bottom style="medium">
        <color rgb="FFDDDDDD"/>
      </bottom>
    </border>
    <border>
      <top style="thin">
        <color rgb="FFDDDDDD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E6E6E6"/>
      </bottom>
    </border>
    <border>
      <bottom style="thin">
        <color rgb="FFE6E6E6"/>
      </bottom>
    </border>
    <border>
      <right style="medium">
        <color rgb="FF000000"/>
      </right>
      <bottom style="thin">
        <color rgb="FFE6E6E6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medium">
        <color rgb="FF000000"/>
      </right>
      <top style="thin">
        <color rgb="FFE6E6E6"/>
      </top>
      <bottom style="thin">
        <color rgb="FFE6E6E6"/>
      </bottom>
    </border>
    <border>
      <top style="thin">
        <color rgb="FFE6E6E6"/>
      </top>
    </border>
    <border>
      <left style="medium">
        <color rgb="FF000000"/>
      </left>
      <top style="thin">
        <color rgb="FFE6E6E6"/>
      </top>
      <bottom style="medium">
        <color rgb="FF000000"/>
      </bottom>
    </border>
    <border>
      <top style="thin">
        <color rgb="FFE6E6E6"/>
      </top>
      <bottom style="medium">
        <color rgb="FF000000"/>
      </bottom>
    </border>
    <border>
      <right style="medium">
        <color rgb="FF000000"/>
      </right>
      <top style="thin">
        <color rgb="FFE6E6E6"/>
      </top>
      <bottom style="medium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0" xfId="0" applyFont="1" applyNumberFormat="1"/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0" fontId="4" numFmtId="0" xfId="0" applyAlignment="1" applyFont="1">
      <alignment horizontal="right" readingOrder="0" vertical="bottom"/>
    </xf>
    <xf borderId="8" fillId="0" fontId="1" numFmtId="4" xfId="0" applyBorder="1" applyFont="1" applyNumberFormat="1"/>
    <xf borderId="5" fillId="0" fontId="1" numFmtId="10" xfId="0" applyBorder="1" applyFont="1" applyNumberFormat="1"/>
    <xf borderId="9" fillId="0" fontId="1" numFmtId="10" xfId="0" applyBorder="1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0" xfId="0" applyFont="1" applyNumberFormat="1"/>
    <xf borderId="10" fillId="0" fontId="1" numFmtId="0" xfId="0" applyBorder="1" applyFont="1"/>
    <xf borderId="11" fillId="0" fontId="1" numFmtId="0" xfId="0" applyBorder="1" applyFont="1"/>
    <xf borderId="0" fillId="6" fontId="1" numFmtId="0" xfId="0" applyFill="1" applyFont="1"/>
    <xf borderId="9" fillId="0" fontId="1" numFmtId="4" xfId="0" applyBorder="1" applyFont="1" applyNumberFormat="1"/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/>
    </xf>
    <xf borderId="12" fillId="7" fontId="1" numFmtId="4" xfId="0" applyBorder="1" applyFill="1" applyFont="1" applyNumberFormat="1"/>
    <xf borderId="13" fillId="7" fontId="1" numFmtId="10" xfId="0" applyBorder="1" applyFont="1" applyNumberFormat="1"/>
    <xf borderId="12" fillId="7" fontId="1" numFmtId="10" xfId="0" applyBorder="1" applyFont="1" applyNumberFormat="1"/>
    <xf borderId="13" fillId="7" fontId="6" numFmtId="0" xfId="0" applyBorder="1" applyFont="1"/>
    <xf borderId="13" fillId="7" fontId="1" numFmtId="0" xfId="0" applyBorder="1" applyFont="1"/>
    <xf borderId="14" fillId="0" fontId="1" numFmtId="0" xfId="0" applyBorder="1" applyFont="1"/>
    <xf borderId="15" fillId="7" fontId="1" numFmtId="0" xfId="0" applyBorder="1" applyFont="1"/>
    <xf borderId="16" fillId="7" fontId="1" numFmtId="0" xfId="0" applyBorder="1" applyFont="1"/>
    <xf borderId="5" fillId="0" fontId="1" numFmtId="4" xfId="0" applyBorder="1" applyFont="1" applyNumberFormat="1"/>
    <xf borderId="0" fillId="0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8" fontId="8" numFmtId="0" xfId="0" applyAlignment="1" applyFill="1" applyFont="1">
      <alignment vertical="bottom"/>
    </xf>
    <xf borderId="0" fillId="9" fontId="8" numFmtId="0" xfId="0" applyAlignment="1" applyFill="1" applyFont="1">
      <alignment vertical="bottom"/>
    </xf>
    <xf borderId="0" fillId="10" fontId="7" numFmtId="0" xfId="0" applyAlignment="1" applyFill="1" applyFont="1">
      <alignment vertical="bottom"/>
    </xf>
    <xf borderId="0" fillId="11" fontId="8" numFmtId="0" xfId="0" applyAlignment="1" applyFill="1" applyFont="1">
      <alignment readingOrder="0" vertical="bottom"/>
    </xf>
    <xf borderId="0" fillId="12" fontId="9" numFmtId="0" xfId="0" applyAlignment="1" applyFill="1" applyFont="1">
      <alignment readingOrder="0" vertical="bottom"/>
    </xf>
    <xf borderId="0" fillId="13" fontId="10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6" fontId="7" numFmtId="10" xfId="0" applyAlignment="1" applyFont="1" applyNumberFormat="1">
      <alignment horizontal="right" vertical="bottom"/>
    </xf>
    <xf borderId="0" fillId="6" fontId="1" numFmtId="10" xfId="0" applyFont="1" applyNumberFormat="1"/>
    <xf borderId="0" fillId="0" fontId="4" numFmtId="0" xfId="0" applyAlignment="1" applyFont="1">
      <alignment vertical="bottom"/>
    </xf>
    <xf borderId="0" fillId="7" fontId="11" numFmtId="0" xfId="0" applyAlignment="1" applyFont="1">
      <alignment readingOrder="0"/>
    </xf>
    <xf borderId="0" fillId="7" fontId="12" numFmtId="0" xfId="0" applyAlignment="1" applyFont="1">
      <alignment vertical="bottom"/>
    </xf>
    <xf borderId="0" fillId="7" fontId="12" numFmtId="0" xfId="0" applyAlignment="1" applyFont="1">
      <alignment horizontal="right" vertical="bottom"/>
    </xf>
    <xf borderId="0" fillId="7" fontId="12" numFmtId="10" xfId="0" applyAlignment="1" applyFont="1" applyNumberFormat="1">
      <alignment horizontal="right" vertical="bottom"/>
    </xf>
    <xf borderId="0" fillId="7" fontId="1" numFmtId="10" xfId="0" applyFont="1" applyNumberFormat="1"/>
    <xf borderId="0" fillId="7" fontId="6" numFmtId="10" xfId="0" applyFont="1" applyNumberFormat="1"/>
    <xf borderId="0" fillId="0" fontId="6" numFmtId="0" xfId="0" applyFont="1"/>
    <xf borderId="0" fillId="7" fontId="13" numFmtId="0" xfId="0" applyAlignment="1" applyFont="1">
      <alignment readingOrder="0"/>
    </xf>
    <xf borderId="0" fillId="7" fontId="14" numFmtId="0" xfId="0" applyFont="1"/>
    <xf borderId="0" fillId="14" fontId="1" numFmtId="0" xfId="0" applyFill="1" applyFont="1"/>
    <xf borderId="8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9" fillId="0" fontId="15" numFmtId="0" xfId="0" applyAlignment="1" applyBorder="1" applyFont="1">
      <alignment readingOrder="0"/>
    </xf>
    <xf borderId="0" fillId="0" fontId="15" numFmtId="0" xfId="0" applyFont="1"/>
    <xf borderId="10" fillId="0" fontId="15" numFmtId="0" xfId="0" applyBorder="1" applyFont="1"/>
    <xf borderId="0" fillId="0" fontId="16" numFmtId="0" xfId="0" applyFont="1"/>
    <xf borderId="0" fillId="0" fontId="2" numFmtId="0" xfId="0" applyFont="1"/>
    <xf borderId="9" fillId="0" fontId="17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0" xfId="0" applyFont="1"/>
    <xf borderId="10" fillId="0" fontId="17" numFmtId="0" xfId="0" applyBorder="1" applyFont="1"/>
    <xf borderId="0" fillId="0" fontId="18" numFmtId="0" xfId="0" applyFont="1"/>
    <xf borderId="9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9" fillId="6" fontId="17" numFmtId="0" xfId="0" applyAlignment="1" applyBorder="1" applyFont="1">
      <alignment readingOrder="0"/>
    </xf>
    <xf borderId="12" fillId="0" fontId="17" numFmtId="0" xfId="0" applyBorder="1" applyFont="1"/>
    <xf borderId="13" fillId="0" fontId="17" numFmtId="0" xfId="0" applyBorder="1" applyFont="1"/>
    <xf borderId="15" fillId="0" fontId="17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6" fontId="20" numFmtId="0" xfId="0" applyAlignment="1" applyFont="1">
      <alignment readingOrder="0" vertical="bottom"/>
    </xf>
    <xf borderId="0" fillId="0" fontId="1" numFmtId="0" xfId="0" applyFont="1"/>
    <xf borderId="0" fillId="0" fontId="21" numFmtId="0" xfId="0" applyAlignment="1" applyFont="1">
      <alignment readingOrder="0" vertical="bottom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right" vertical="bottom"/>
    </xf>
    <xf borderId="0" fillId="15" fontId="21" numFmtId="10" xfId="0" applyAlignment="1" applyFill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right" readingOrder="0" shrinkToFit="0" wrapText="0"/>
    </xf>
    <xf borderId="0" fillId="0" fontId="1" numFmtId="164" xfId="0" applyFont="1" applyNumberFormat="1"/>
    <xf borderId="0" fillId="6" fontId="23" numFmtId="0" xfId="0" applyAlignment="1" applyFont="1">
      <alignment horizontal="right" readingOrder="0"/>
    </xf>
    <xf borderId="0" fillId="0" fontId="20" numFmtId="164" xfId="0" applyAlignment="1" applyFont="1" applyNumberFormat="1">
      <alignment vertical="bottom"/>
    </xf>
    <xf borderId="0" fillId="0" fontId="1" numFmtId="165" xfId="0" applyFont="1" applyNumberFormat="1"/>
    <xf borderId="0" fillId="16" fontId="24" numFmtId="0" xfId="0" applyFill="1" applyFont="1"/>
    <xf borderId="0" fillId="6" fontId="25" numFmtId="0" xfId="0" applyAlignment="1" applyFont="1">
      <alignment horizontal="right" readingOrder="0"/>
    </xf>
    <xf borderId="0" fillId="6" fontId="26" numFmtId="0" xfId="0" applyAlignment="1" applyFont="1">
      <alignment horizontal="right" shrinkToFit="0" wrapText="0"/>
    </xf>
    <xf borderId="0" fillId="0" fontId="25" numFmtId="164" xfId="0" applyAlignment="1" applyFont="1" applyNumberFormat="1">
      <alignment horizontal="left" readingOrder="0" shrinkToFit="0" wrapText="0"/>
    </xf>
    <xf borderId="0" fillId="6" fontId="27" numFmtId="0" xfId="0" applyAlignment="1" applyFont="1">
      <alignment horizontal="right" readingOrder="0"/>
    </xf>
    <xf borderId="0" fillId="6" fontId="28" numFmtId="0" xfId="0" applyAlignment="1" applyFont="1">
      <alignment horizontal="right" readingOrder="0" shrinkToFit="0" wrapText="0"/>
    </xf>
    <xf borderId="0" fillId="6" fontId="29" numFmtId="0" xfId="0" applyAlignment="1" applyFont="1">
      <alignment horizontal="right" readingOrder="0" shrinkToFit="0" wrapText="0"/>
    </xf>
    <xf borderId="0" fillId="0" fontId="25" numFmtId="166" xfId="0" applyAlignment="1" applyFont="1" applyNumberFormat="1">
      <alignment horizontal="left" readingOrder="0" shrinkToFit="0" wrapText="0"/>
    </xf>
    <xf borderId="0" fillId="0" fontId="20" numFmtId="0" xfId="0" applyAlignment="1" applyFont="1">
      <alignment vertical="bottom"/>
    </xf>
    <xf borderId="0" fillId="0" fontId="25" numFmtId="0" xfId="0" applyAlignment="1" applyFont="1">
      <alignment horizontal="left" readingOrder="0" shrinkToFit="0" wrapText="0"/>
    </xf>
    <xf borderId="0" fillId="2" fontId="1" numFmtId="0" xfId="0" applyFont="1"/>
    <xf borderId="0" fillId="0" fontId="7" numFmtId="0" xfId="0" applyAlignment="1" applyFont="1">
      <alignment readingOrder="0" vertical="bottom"/>
    </xf>
    <xf borderId="0" fillId="6" fontId="7" numFmtId="0" xfId="0" applyAlignment="1" applyFont="1">
      <alignment readingOrder="0" vertical="bottom"/>
    </xf>
    <xf borderId="0" fillId="17" fontId="7" numFmtId="10" xfId="0" applyAlignment="1" applyFill="1" applyFont="1" applyNumberFormat="1">
      <alignment horizontal="right" vertical="bottom"/>
    </xf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7" numFmtId="0" xfId="0" applyAlignment="1" applyFont="1">
      <alignment horizontal="right" vertical="bottom"/>
    </xf>
    <xf borderId="0" fillId="3" fontId="7" numFmtId="10" xfId="0" applyAlignment="1" applyFont="1" applyNumberFormat="1">
      <alignment horizontal="right" vertical="bottom"/>
    </xf>
    <xf borderId="0" fillId="3" fontId="1" numFmtId="10" xfId="0" applyFont="1" applyNumberFormat="1"/>
    <xf borderId="0" fillId="3" fontId="1" numFmtId="0" xfId="0" applyFont="1"/>
    <xf borderId="0" fillId="18" fontId="30" numFmtId="0" xfId="0" applyAlignment="1" applyFill="1" applyFont="1">
      <alignment readingOrder="0"/>
    </xf>
    <xf borderId="0" fillId="18" fontId="30" numFmtId="0" xfId="0" applyFont="1"/>
    <xf borderId="0" fillId="12" fontId="31" numFmtId="0" xfId="0" applyAlignment="1" applyFont="1">
      <alignment readingOrder="0"/>
    </xf>
    <xf borderId="0" fillId="12" fontId="32" numFmtId="0" xfId="0" applyAlignment="1" applyFont="1">
      <alignment readingOrder="0"/>
    </xf>
    <xf borderId="0" fillId="12" fontId="33" numFmtId="4" xfId="0" applyAlignment="1" applyFont="1" applyNumberFormat="1">
      <alignment readingOrder="0"/>
    </xf>
    <xf borderId="0" fillId="12" fontId="1" numFmtId="2" xfId="0" applyFont="1" applyNumberFormat="1"/>
    <xf borderId="0" fillId="12" fontId="3" numFmtId="0" xfId="0" applyAlignment="1" applyFont="1">
      <alignment readingOrder="0"/>
    </xf>
    <xf borderId="0" fillId="12" fontId="3" numFmtId="0" xfId="0" applyFont="1"/>
    <xf borderId="0" fillId="19" fontId="34" numFmtId="0" xfId="0" applyAlignment="1" applyFill="1" applyFont="1">
      <alignment readingOrder="0"/>
    </xf>
    <xf borderId="0" fillId="19" fontId="32" numFmtId="0" xfId="0" applyAlignment="1" applyFont="1">
      <alignment horizontal="right" readingOrder="0"/>
    </xf>
    <xf borderId="0" fillId="19" fontId="32" numFmtId="4" xfId="0" applyAlignment="1" applyFont="1" applyNumberFormat="1">
      <alignment horizontal="center" readingOrder="0"/>
    </xf>
    <xf borderId="0" fillId="19" fontId="3" numFmtId="2" xfId="0" applyFont="1" applyNumberFormat="1"/>
    <xf borderId="0" fillId="19" fontId="35" numFmtId="0" xfId="0" applyAlignment="1" applyFont="1">
      <alignment readingOrder="0"/>
    </xf>
    <xf borderId="0" fillId="19" fontId="35" numFmtId="0" xfId="0" applyAlignment="1" applyFont="1">
      <alignment horizontal="left" readingOrder="0"/>
    </xf>
    <xf borderId="0" fillId="19" fontId="34" numFmtId="0" xfId="0" applyFont="1"/>
    <xf borderId="1" fillId="0" fontId="18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6" fontId="36" numFmtId="4" xfId="0" applyFont="1" applyNumberFormat="1"/>
    <xf borderId="0" fillId="0" fontId="1" numFmtId="2" xfId="0" applyFont="1" applyNumberFormat="1"/>
    <xf borderId="0" fillId="0" fontId="37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17" numFmtId="4" xfId="0" applyFont="1" applyNumberFormat="1"/>
    <xf borderId="8" fillId="12" fontId="3" numFmtId="0" xfId="0" applyAlignment="1" applyBorder="1" applyFont="1">
      <alignment readingOrder="0"/>
    </xf>
    <xf borderId="5" fillId="12" fontId="3" numFmtId="0" xfId="0" applyBorder="1" applyFont="1"/>
    <xf borderId="6" fillId="12" fontId="3" numFmtId="0" xfId="0" applyBorder="1" applyFont="1"/>
    <xf borderId="9" fillId="2" fontId="1" numFmtId="0" xfId="0" applyBorder="1" applyFont="1"/>
    <xf borderId="9" fillId="0" fontId="1" numFmtId="0" xfId="0" applyBorder="1" applyFont="1"/>
    <xf borderId="0" fillId="0" fontId="36" numFmtId="4" xfId="0" applyFont="1" applyNumberFormat="1"/>
    <xf borderId="0" fillId="0" fontId="38" numFmtId="2" xfId="0" applyFont="1" applyNumberFormat="1"/>
    <xf borderId="10" fillId="0" fontId="2" numFmtId="0" xfId="0" applyBorder="1" applyFont="1"/>
    <xf borderId="12" fillId="0" fontId="1" numFmtId="0" xfId="0" applyBorder="1" applyFont="1"/>
    <xf borderId="13" fillId="0" fontId="1" numFmtId="0" xfId="0" applyBorder="1" applyFont="1"/>
    <xf borderId="15" fillId="0" fontId="1" numFmtId="0" xfId="0" applyBorder="1" applyFont="1"/>
    <xf borderId="1" fillId="0" fontId="1" numFmtId="0" xfId="0" applyAlignment="1" applyBorder="1" applyFont="1">
      <alignment readingOrder="0"/>
    </xf>
    <xf borderId="17" fillId="0" fontId="39" numFmtId="0" xfId="0" applyAlignment="1" applyBorder="1" applyFont="1">
      <alignment horizontal="left" readingOrder="0"/>
    </xf>
    <xf borderId="0" fillId="0" fontId="1" numFmtId="4" xfId="0" applyFont="1" applyNumberFormat="1"/>
    <xf borderId="17" fillId="0" fontId="40" numFmtId="0" xfId="0" applyAlignment="1" applyBorder="1" applyFont="1">
      <alignment horizontal="left"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6" fontId="43" numFmtId="0" xfId="0" applyAlignment="1" applyFont="1">
      <alignment horizontal="right" readingOrder="0"/>
    </xf>
    <xf borderId="0" fillId="6" fontId="44" numFmtId="0" xfId="0" applyFont="1"/>
    <xf borderId="0" fillId="0" fontId="1" numFmtId="166" xfId="0" applyFont="1" applyNumberFormat="1"/>
    <xf borderId="0" fillId="0" fontId="2" numFmtId="0" xfId="0" applyAlignment="1" applyFont="1">
      <alignment horizontal="right" readingOrder="0"/>
    </xf>
    <xf borderId="0" fillId="0" fontId="45" numFmtId="0" xfId="0" applyAlignment="1" applyFont="1">
      <alignment readingOrder="0"/>
    </xf>
    <xf borderId="0" fillId="6" fontId="46" numFmtId="0" xfId="0" applyAlignment="1" applyFont="1">
      <alignment readingOrder="0"/>
    </xf>
    <xf borderId="0" fillId="6" fontId="47" numFmtId="167" xfId="0" applyAlignment="1" applyFont="1" applyNumberFormat="1">
      <alignment horizontal="center" readingOrder="0" shrinkToFit="0" wrapText="0"/>
    </xf>
    <xf borderId="0" fillId="6" fontId="48" numFmtId="166" xfId="0" applyAlignment="1" applyFont="1" applyNumberFormat="1">
      <alignment horizontal="right" readingOrder="0" shrinkToFit="0" wrapText="0"/>
    </xf>
    <xf borderId="0" fillId="6" fontId="49" numFmtId="0" xfId="0" applyAlignment="1" applyFont="1">
      <alignment horizontal="right" shrinkToFit="0" wrapText="0"/>
    </xf>
    <xf borderId="0" fillId="0" fontId="43" numFmtId="0" xfId="0" applyAlignment="1" applyFont="1">
      <alignment horizontal="right" readingOrder="0"/>
    </xf>
    <xf borderId="3" fillId="0" fontId="1" numFmtId="0" xfId="0" applyAlignment="1" applyBorder="1" applyFont="1">
      <alignment readingOrder="0"/>
    </xf>
    <xf borderId="0" fillId="0" fontId="50" numFmtId="0" xfId="0" applyAlignment="1" applyFont="1">
      <alignment horizontal="right" readingOrder="0"/>
    </xf>
    <xf borderId="0" fillId="0" fontId="38" numFmtId="10" xfId="0" applyAlignment="1" applyFont="1" applyNumberFormat="1">
      <alignment horizontal="right"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20" fontId="1" numFmtId="0" xfId="0" applyFill="1" applyFont="1"/>
    <xf borderId="0" fillId="20" fontId="1" numFmtId="0" xfId="0" applyAlignment="1" applyFont="1">
      <alignment readingOrder="0"/>
    </xf>
    <xf borderId="0" fillId="20" fontId="1" numFmtId="4" xfId="0" applyFont="1" applyNumberFormat="1"/>
    <xf borderId="0" fillId="20" fontId="1" numFmtId="2" xfId="0" applyFont="1" applyNumberFormat="1"/>
    <xf borderId="0" fillId="20" fontId="2" numFmtId="0" xfId="0" applyAlignment="1" applyFont="1">
      <alignment readingOrder="0"/>
    </xf>
    <xf borderId="0" fillId="0" fontId="51" numFmtId="0" xfId="0" applyAlignment="1" applyFont="1">
      <alignment readingOrder="0"/>
    </xf>
    <xf borderId="0" fillId="20" fontId="38" numFmtId="0" xfId="0" applyAlignment="1" applyFont="1">
      <alignment readingOrder="0"/>
    </xf>
    <xf borderId="0" fillId="20" fontId="38" numFmtId="0" xfId="0" applyFont="1"/>
    <xf borderId="18" fillId="0" fontId="52" numFmtId="0" xfId="0" applyAlignment="1" applyBorder="1" applyFont="1">
      <alignment horizontal="center" readingOrder="0" vertical="bottom"/>
    </xf>
    <xf borderId="18" fillId="0" fontId="52" numFmtId="4" xfId="0" applyAlignment="1" applyBorder="1" applyFont="1" applyNumberFormat="1">
      <alignment horizontal="center" readingOrder="0" vertical="bottom"/>
    </xf>
    <xf borderId="18" fillId="0" fontId="52" numFmtId="2" xfId="0" applyAlignment="1" applyBorder="1" applyFont="1" applyNumberFormat="1">
      <alignment horizontal="center" readingOrder="0" vertical="bottom"/>
    </xf>
    <xf borderId="0" fillId="0" fontId="53" numFmtId="0" xfId="0" applyAlignment="1" applyFont="1">
      <alignment readingOrder="0"/>
    </xf>
    <xf borderId="19" fillId="0" fontId="54" numFmtId="0" xfId="0" applyAlignment="1" applyBorder="1" applyFont="1">
      <alignment horizontal="center" readingOrder="0" vertical="top"/>
    </xf>
    <xf borderId="19" fillId="0" fontId="54" numFmtId="4" xfId="0" applyAlignment="1" applyBorder="1" applyFont="1" applyNumberFormat="1">
      <alignment horizontal="center" readingOrder="0" vertical="top"/>
    </xf>
    <xf borderId="19" fillId="0" fontId="55" numFmtId="0" xfId="0" applyAlignment="1" applyBorder="1" applyFont="1">
      <alignment horizontal="center" readingOrder="0" vertical="top"/>
    </xf>
    <xf borderId="20" fillId="0" fontId="41" numFmtId="0" xfId="0" applyAlignment="1" applyBorder="1" applyFont="1">
      <alignment readingOrder="0"/>
    </xf>
    <xf borderId="21" fillId="0" fontId="1" numFmtId="0" xfId="0" applyBorder="1" applyFont="1"/>
    <xf borderId="22" fillId="0" fontId="1" numFmtId="0" xfId="0" applyBorder="1" applyFont="1"/>
    <xf borderId="23" fillId="6" fontId="56" numFmtId="0" xfId="0" applyAlignment="1" applyBorder="1" applyFont="1">
      <alignment horizontal="left" readingOrder="0" vertical="bottom"/>
    </xf>
    <xf borderId="24" fillId="6" fontId="56" numFmtId="0" xfId="0" applyAlignment="1" applyBorder="1" applyFont="1">
      <alignment horizontal="right" readingOrder="0" vertical="bottom"/>
    </xf>
    <xf borderId="24" fillId="6" fontId="56" numFmtId="0" xfId="0" applyAlignment="1" applyBorder="1" applyFont="1">
      <alignment horizontal="left" readingOrder="0" vertical="bottom"/>
    </xf>
    <xf borderId="25" fillId="6" fontId="56" numFmtId="0" xfId="0" applyAlignment="1" applyBorder="1" applyFont="1">
      <alignment horizontal="right" readingOrder="0" vertical="bottom"/>
    </xf>
    <xf borderId="19" fillId="0" fontId="57" numFmtId="0" xfId="0" applyAlignment="1" applyBorder="1" applyFont="1">
      <alignment horizontal="center" readingOrder="0" vertical="top"/>
    </xf>
    <xf borderId="26" fillId="0" fontId="58" numFmtId="0" xfId="0" applyAlignment="1" applyBorder="1" applyFont="1">
      <alignment readingOrder="0"/>
    </xf>
    <xf borderId="0" fillId="0" fontId="6" numFmtId="168" xfId="0" applyAlignment="1" applyFont="1" applyNumberFormat="1">
      <alignment readingOrder="0"/>
    </xf>
    <xf borderId="27" fillId="0" fontId="1" numFmtId="0" xfId="0" applyBorder="1" applyFont="1"/>
    <xf borderId="28" fillId="6" fontId="59" numFmtId="0" xfId="0" applyAlignment="1" applyBorder="1" applyFont="1">
      <alignment readingOrder="0" vertical="top"/>
    </xf>
    <xf borderId="29" fillId="6" fontId="60" numFmtId="166" xfId="0" applyAlignment="1" applyBorder="1" applyFont="1" applyNumberFormat="1">
      <alignment horizontal="right" readingOrder="0" vertical="top"/>
    </xf>
    <xf borderId="29" fillId="6" fontId="61" numFmtId="0" xfId="0" applyAlignment="1" applyBorder="1" applyFont="1">
      <alignment readingOrder="0" vertical="top"/>
    </xf>
    <xf borderId="30" fillId="6" fontId="60" numFmtId="166" xfId="0" applyAlignment="1" applyBorder="1" applyFont="1" applyNumberFormat="1">
      <alignment horizontal="right" readingOrder="0" vertical="top"/>
    </xf>
    <xf borderId="30" fillId="6" fontId="60" numFmtId="165" xfId="0" applyAlignment="1" applyBorder="1" applyFont="1" applyNumberFormat="1">
      <alignment horizontal="right" readingOrder="0" vertical="top"/>
    </xf>
    <xf borderId="29" fillId="6" fontId="60" numFmtId="165" xfId="0" applyAlignment="1" applyBorder="1" applyFont="1" applyNumberFormat="1">
      <alignment horizontal="right" readingOrder="0" vertical="top"/>
    </xf>
    <xf borderId="31" fillId="6" fontId="60" numFmtId="165" xfId="0" applyAlignment="1" applyBorder="1" applyFont="1" applyNumberFormat="1">
      <alignment horizontal="right" readingOrder="0" vertical="top"/>
    </xf>
    <xf borderId="0" fillId="6" fontId="60" numFmtId="166" xfId="0" applyAlignment="1" applyFont="1" applyNumberFormat="1">
      <alignment horizontal="right" readingOrder="0" vertical="top"/>
    </xf>
    <xf borderId="24" fillId="6" fontId="60" numFmtId="166" xfId="0" applyAlignment="1" applyBorder="1" applyFont="1" applyNumberFormat="1">
      <alignment horizontal="right" readingOrder="0" vertical="top"/>
    </xf>
    <xf borderId="19" fillId="0" fontId="54" numFmtId="166" xfId="0" applyAlignment="1" applyBorder="1" applyFont="1" applyNumberFormat="1">
      <alignment horizontal="center" readingOrder="0" vertical="top"/>
    </xf>
    <xf borderId="19" fillId="0" fontId="54" numFmtId="2" xfId="0" applyAlignment="1" applyBorder="1" applyFont="1" applyNumberFormat="1">
      <alignment horizontal="center" readingOrder="0" vertical="top"/>
    </xf>
    <xf borderId="0" fillId="21" fontId="1" numFmtId="0" xfId="0" applyFill="1" applyFont="1"/>
    <xf borderId="32" fillId="6" fontId="59" numFmtId="0" xfId="0" applyAlignment="1" applyBorder="1" applyFont="1">
      <alignment readingOrder="0" vertical="top"/>
    </xf>
    <xf borderId="33" fillId="6" fontId="60" numFmtId="165" xfId="0" applyAlignment="1" applyBorder="1" applyFont="1" applyNumberFormat="1">
      <alignment horizontal="right" readingOrder="0" vertical="top"/>
    </xf>
    <xf borderId="33" fillId="6" fontId="61" numFmtId="0" xfId="0" applyAlignment="1" applyBorder="1" applyFont="1">
      <alignment readingOrder="0" vertical="top"/>
    </xf>
    <xf borderId="34" fillId="6" fontId="60" numFmtId="165" xfId="0" applyAlignment="1" applyBorder="1" applyFont="1" applyNumberFormat="1">
      <alignment horizontal="right" readingOrder="0" vertical="top"/>
    </xf>
    <xf borderId="0" fillId="0" fontId="62" numFmtId="0" xfId="0" applyAlignment="1" applyFont="1">
      <alignment readingOrder="0" shrinkToFit="0" wrapText="1"/>
    </xf>
    <xf borderId="0" fillId="6" fontId="49" numFmtId="10" xfId="0" applyAlignment="1" applyFont="1" applyNumberFormat="1">
      <alignment horizontal="right" shrinkToFit="0" wrapText="0"/>
    </xf>
    <xf borderId="0" fillId="0" fontId="38" numFmtId="10" xfId="0" applyFont="1" applyNumberFormat="1"/>
    <xf borderId="0" fillId="6" fontId="43" numFmtId="10" xfId="0" applyFont="1" applyNumberFormat="1"/>
    <xf borderId="19" fillId="0" fontId="54" numFmtId="165" xfId="0" applyAlignment="1" applyBorder="1" applyFont="1" applyNumberFormat="1">
      <alignment horizontal="center" readingOrder="0"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6" fontId="63" numFmtId="0" xfId="0" applyAlignment="1" applyFont="1">
      <alignment horizontal="right" readingOrder="0"/>
    </xf>
    <xf borderId="0" fillId="6" fontId="63" numFmtId="0" xfId="0" applyAlignment="1" applyFont="1">
      <alignment horizontal="right" readingOrder="0" vertical="top"/>
    </xf>
    <xf borderId="29" fillId="6" fontId="60" numFmtId="0" xfId="0" applyAlignment="1" applyBorder="1" applyFont="1">
      <alignment readingOrder="0" vertical="top"/>
    </xf>
    <xf borderId="17" fillId="0" fontId="64" numFmtId="0" xfId="0" applyAlignment="1" applyBorder="1" applyFont="1">
      <alignment horizontal="left" readingOrder="0"/>
    </xf>
    <xf borderId="17" fillId="6" fontId="65" numFmtId="0" xfId="0" applyAlignment="1" applyBorder="1" applyFont="1">
      <alignment horizontal="right" readingOrder="0"/>
    </xf>
    <xf borderId="17" fillId="6" fontId="65" numFmtId="166" xfId="0" applyAlignment="1" applyBorder="1" applyFont="1" applyNumberFormat="1">
      <alignment horizontal="right" readingOrder="0"/>
    </xf>
    <xf borderId="17" fillId="6" fontId="66" numFmtId="2" xfId="0" applyAlignment="1" applyBorder="1" applyFont="1" applyNumberFormat="1">
      <alignment horizontal="right"/>
    </xf>
    <xf borderId="17" fillId="6" fontId="66" numFmtId="0" xfId="0" applyAlignment="1" applyBorder="1" applyFont="1">
      <alignment horizontal="right"/>
    </xf>
    <xf borderId="27" fillId="0" fontId="1" numFmtId="0" xfId="0" applyAlignment="1" applyBorder="1" applyFont="1">
      <alignment readingOrder="0"/>
    </xf>
    <xf borderId="0" fillId="22" fontId="1" numFmtId="0" xfId="0" applyFill="1" applyFont="1"/>
    <xf borderId="0" fillId="0" fontId="1" numFmtId="169" xfId="0" applyFont="1" applyNumberFormat="1"/>
    <xf borderId="7" fillId="0" fontId="13" numFmtId="0" xfId="0" applyAlignment="1" applyBorder="1" applyFont="1">
      <alignment readingOrder="0"/>
    </xf>
    <xf borderId="8" fillId="0" fontId="13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right" readingOrder="0"/>
    </xf>
    <xf borderId="6" fillId="0" fontId="13" numFmtId="0" xfId="0" applyAlignment="1" applyBorder="1" applyFont="1">
      <alignment readingOrder="0"/>
    </xf>
    <xf borderId="11" fillId="0" fontId="43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horizontal="center"/>
    </xf>
    <xf borderId="11" fillId="0" fontId="5" numFmtId="170" xfId="0" applyAlignment="1" applyBorder="1" applyFont="1" applyNumberFormat="1">
      <alignment horizontal="center" readingOrder="0"/>
    </xf>
    <xf borderId="0" fillId="6" fontId="1" numFmtId="0" xfId="0" applyAlignment="1" applyFont="1">
      <alignment readingOrder="0"/>
    </xf>
    <xf borderId="11" fillId="0" fontId="67" numFmtId="170" xfId="0" applyAlignment="1" applyBorder="1" applyFont="1" applyNumberFormat="1">
      <alignment horizontal="center" readingOrder="0"/>
    </xf>
    <xf borderId="11" fillId="6" fontId="68" numFmtId="170" xfId="0" applyAlignment="1" applyBorder="1" applyFont="1" applyNumberFormat="1">
      <alignment horizontal="center" readingOrder="0"/>
    </xf>
    <xf borderId="16" fillId="6" fontId="69" numFmtId="170" xfId="0" applyAlignment="1" applyBorder="1" applyFont="1" applyNumberFormat="1">
      <alignment horizontal="center" readingOrder="0"/>
    </xf>
    <xf borderId="12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4" fillId="5" fontId="1" numFmtId="0" xfId="0" applyAlignment="1" applyBorder="1" applyFont="1">
      <alignment readingOrder="0"/>
    </xf>
    <xf borderId="6" fillId="0" fontId="1" numFmtId="10" xfId="0" applyBorder="1" applyFont="1" applyNumberFormat="1"/>
    <xf borderId="5" fillId="0" fontId="1" numFmtId="0" xfId="0" applyAlignment="1" applyBorder="1" applyFont="1">
      <alignment horizontal="center"/>
    </xf>
    <xf borderId="10" fillId="6" fontId="1" numFmtId="0" xfId="0" applyBorder="1" applyFont="1"/>
    <xf borderId="10" fillId="0" fontId="1" numFmtId="10" xfId="0" applyBorder="1" applyFont="1" applyNumberFormat="1"/>
    <xf borderId="12" fillId="0" fontId="1" numFmtId="4" xfId="0" applyBorder="1" applyFont="1" applyNumberFormat="1"/>
    <xf borderId="13" fillId="0" fontId="1" numFmtId="10" xfId="0" applyBorder="1" applyFont="1" applyNumberFormat="1"/>
    <xf borderId="15" fillId="0" fontId="1" numFmtId="10" xfId="0" applyBorder="1" applyFont="1" applyNumberFormat="1"/>
    <xf borderId="2" fillId="7" fontId="1" numFmtId="4" xfId="0" applyBorder="1" applyFont="1" applyNumberFormat="1"/>
    <xf borderId="3" fillId="7" fontId="1" numFmtId="10" xfId="0" applyBorder="1" applyFont="1" applyNumberFormat="1"/>
    <xf borderId="8" fillId="6" fontId="6" numFmtId="0" xfId="0" applyBorder="1" applyFont="1"/>
    <xf borderId="5" fillId="6" fontId="1" numFmtId="0" xfId="0" applyBorder="1" applyFont="1"/>
    <xf borderId="6" fillId="6" fontId="1" numFmtId="0" xfId="0" applyBorder="1" applyFont="1"/>
    <xf borderId="2" fillId="22" fontId="1" numFmtId="4" xfId="0" applyBorder="1" applyFont="1" applyNumberFormat="1"/>
    <xf borderId="3" fillId="22" fontId="1" numFmtId="10" xfId="0" applyBorder="1" applyFont="1" applyNumberFormat="1"/>
    <xf borderId="13" fillId="22" fontId="1" numFmtId="10" xfId="0" applyBorder="1" applyFont="1" applyNumberFormat="1"/>
    <xf borderId="12" fillId="6" fontId="6" numFmtId="0" xfId="0" applyBorder="1" applyFont="1"/>
    <xf borderId="13" fillId="6" fontId="1" numFmtId="0" xfId="0" applyBorder="1" applyFont="1"/>
    <xf borderId="15" fillId="6" fontId="1" numFmtId="0" xfId="0" applyBorder="1" applyFont="1"/>
    <xf borderId="0" fillId="0" fontId="1" numFmtId="0" xfId="0" applyAlignment="1" applyFont="1">
      <alignment horizontal="right"/>
    </xf>
    <xf borderId="0" fillId="7" fontId="7" numFmtId="0" xfId="0" applyAlignment="1" applyFont="1">
      <alignment vertical="bottom"/>
    </xf>
    <xf borderId="0" fillId="7" fontId="7" numFmtId="0" xfId="0" applyAlignment="1" applyFont="1">
      <alignment readingOrder="0" vertical="bottom"/>
    </xf>
    <xf borderId="0" fillId="7" fontId="70" numFmtId="0" xfId="0" applyAlignment="1" applyFont="1">
      <alignment readingOrder="0" vertical="bottom"/>
    </xf>
    <xf borderId="0" fillId="7" fontId="11" numFmtId="0" xfId="0" applyAlignment="1" applyFont="1">
      <alignment horizontal="right" readingOrder="0"/>
    </xf>
    <xf borderId="0" fillId="6" fontId="12" numFmtId="10" xfId="0" applyAlignment="1" applyFont="1" applyNumberFormat="1">
      <alignment horizontal="right" vertical="bottom"/>
    </xf>
    <xf borderId="0" fillId="6" fontId="6" numFmtId="10" xfId="0" applyFont="1" applyNumberFormat="1"/>
    <xf borderId="0" fillId="23" fontId="2" numFmtId="0" xfId="0" applyAlignment="1" applyFill="1" applyFont="1">
      <alignment horizontal="right" readingOrder="0"/>
    </xf>
    <xf borderId="0" fillId="23" fontId="12" numFmtId="0" xfId="0" applyAlignment="1" applyFont="1">
      <alignment vertical="bottom"/>
    </xf>
    <xf borderId="0" fillId="23" fontId="12" numFmtId="0" xfId="0" applyAlignment="1" applyFont="1">
      <alignment horizontal="right" vertical="bottom"/>
    </xf>
    <xf borderId="0" fillId="23" fontId="7" numFmtId="0" xfId="0" applyAlignment="1" applyFont="1">
      <alignment horizontal="right" vertical="bottom"/>
    </xf>
    <xf borderId="0" fillId="23" fontId="12" numFmtId="10" xfId="0" applyAlignment="1" applyFont="1" applyNumberFormat="1">
      <alignment horizontal="right" vertical="bottom"/>
    </xf>
    <xf borderId="0" fillId="23" fontId="1" numFmtId="10" xfId="0" applyFont="1" applyNumberFormat="1"/>
  </cellXfs>
  <cellStyles count="1">
    <cellStyle xfId="0" name="Normal" builtinId="0"/>
  </cellStyles>
  <dxfs count="9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DDDDD"/>
          <bgColor rgb="FFDDDDDD"/>
        </patternFill>
      </fill>
      <border/>
    </dxf>
    <dxf>
      <font>
        <color rgb="FFD91400"/>
      </font>
      <fill>
        <patternFill patternType="solid">
          <fgColor rgb="FFFFFFFF"/>
          <bgColor rgb="FFFFFFFF"/>
        </patternFill>
      </fill>
      <border/>
    </dxf>
    <dxf>
      <font>
        <color theme="5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SETTORI!$E$19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SETTORI!$E$20:$E$31</c:f>
              <c:numCache/>
            </c:numRef>
          </c:val>
        </c:ser>
        <c:ser>
          <c:idx val="1"/>
          <c:order val="1"/>
          <c:tx>
            <c:strRef>
              <c:f>SETTORI!$F$19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SETTORI!$F$20:$F$31</c:f>
              <c:numCache/>
            </c:numRef>
          </c:val>
        </c:ser>
        <c:ser>
          <c:idx val="2"/>
          <c:order val="2"/>
          <c:tx>
            <c:strRef>
              <c:f>SETTORI!$G$19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SETTORI!$G$20:$G$31</c:f>
              <c:numCache/>
            </c:numRef>
          </c:val>
        </c:ser>
        <c:axId val="1894119146"/>
        <c:axId val="1844128962"/>
      </c:bar3DChart>
      <c:catAx>
        <c:axId val="1894119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44128962"/>
      </c:catAx>
      <c:valAx>
        <c:axId val="1844128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119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Var. % giornaliera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SETTORI!$D$19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8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7F60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SETTORI!$A$20:$A$31</c:f>
            </c:strRef>
          </c:cat>
          <c:val>
            <c:numRef>
              <c:f>SETTORI!$D$20:$D$30</c:f>
              <c:numCache/>
            </c:numRef>
          </c:val>
        </c:ser>
        <c:axId val="1142189176"/>
        <c:axId val="615859533"/>
      </c:barChart>
      <c:catAx>
        <c:axId val="1142189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859533"/>
      </c:catAx>
      <c:valAx>
        <c:axId val="615859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Var. % giornaliera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189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SETTORI!$H$19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SETTORI!$H$20:$H$31</c:f>
              <c:numCache/>
            </c:numRef>
          </c:val>
        </c:ser>
        <c:ser>
          <c:idx val="1"/>
          <c:order val="1"/>
          <c:tx>
            <c:strRef>
              <c:f>SETTORI!$I$19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SETTORI!$I$20:$I$31</c:f>
              <c:numCache/>
            </c:numRef>
          </c:val>
        </c:ser>
        <c:ser>
          <c:idx val="2"/>
          <c:order val="2"/>
          <c:tx>
            <c:strRef>
              <c:f>SETTORI!$J$19</c:f>
            </c:strRef>
          </c:tx>
          <c:spPr>
            <a:solidFill>
              <a:srgbClr val="85200C"/>
            </a:solidFill>
            <a:ln cmpd="sng">
              <a:solidFill>
                <a:srgbClr val="000000"/>
              </a:solidFill>
            </a:ln>
          </c:spPr>
          <c:cat>
            <c:strRef>
              <c:f>SETTORI!$A$20:$A$31</c:f>
            </c:strRef>
          </c:cat>
          <c:val>
            <c:numRef>
              <c:f>SETTORI!$J$20:$J$31</c:f>
              <c:numCache/>
            </c:numRef>
          </c:val>
        </c:ser>
        <c:axId val="1026864391"/>
        <c:axId val="1261280879"/>
      </c:bar3DChart>
      <c:catAx>
        <c:axId val="102686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261280879"/>
      </c:catAx>
      <c:valAx>
        <c:axId val="1261280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864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Fattori!$E$14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Fattori!$E$15:$E$21</c:f>
              <c:numCache/>
            </c:numRef>
          </c:val>
        </c:ser>
        <c:ser>
          <c:idx val="1"/>
          <c:order val="1"/>
          <c:tx>
            <c:strRef>
              <c:f>Fattori!$F$14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Fattori!$F$15:$F$21</c:f>
              <c:numCache/>
            </c:numRef>
          </c:val>
        </c:ser>
        <c:ser>
          <c:idx val="2"/>
          <c:order val="2"/>
          <c:tx>
            <c:strRef>
              <c:f>Fattori!$G$14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Fattori!$G$15:$G$21</c:f>
              <c:numCache/>
            </c:numRef>
          </c:val>
        </c:ser>
        <c:ser>
          <c:idx val="3"/>
          <c:order val="3"/>
          <c:tx>
            <c:strRef>
              <c:f>Fattori!$H$14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Fattori!$H$15:$H$21</c:f>
              <c:numCache/>
            </c:numRef>
          </c:val>
        </c:ser>
        <c:ser>
          <c:idx val="4"/>
          <c:order val="4"/>
          <c:tx>
            <c:strRef>
              <c:f>Fattori!$I$14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Fattori!$I$15:$I$21</c:f>
              <c:numCache/>
            </c:numRef>
          </c:val>
        </c:ser>
        <c:axId val="754651532"/>
        <c:axId val="672275969"/>
      </c:bar3DChart>
      <c:catAx>
        <c:axId val="754651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Fattori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275969"/>
      </c:catAx>
      <c:valAx>
        <c:axId val="672275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651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Fattori!$J$14</c:f>
            </c:strRef>
          </c:tx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Fattori!$J$15:$J$21</c:f>
              <c:numCache/>
            </c:numRef>
          </c:val>
        </c:ser>
        <c:ser>
          <c:idx val="1"/>
          <c:order val="1"/>
          <c:tx>
            <c:strRef>
              <c:f>Fattori!$K$14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Fattori!$K$15:$K$21</c:f>
              <c:numCache/>
            </c:numRef>
          </c:val>
        </c:ser>
        <c:ser>
          <c:idx val="2"/>
          <c:order val="2"/>
          <c:tx>
            <c:strRef>
              <c:f>Fattori!$L$14</c:f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Fattori!$L$15:$L$21</c:f>
              <c:numCache/>
            </c:numRef>
          </c:val>
        </c:ser>
        <c:ser>
          <c:idx val="3"/>
          <c:order val="3"/>
          <c:tx>
            <c:strRef>
              <c:f>Fattori!$M$14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Fattori!$M$15:$M$21</c:f>
              <c:numCache/>
            </c:numRef>
          </c:val>
        </c:ser>
        <c:ser>
          <c:idx val="4"/>
          <c:order val="4"/>
          <c:tx>
            <c:strRef>
              <c:f>Fattori!$N$14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Fattori!$B$15:$B$21</c:f>
            </c:strRef>
          </c:cat>
          <c:val>
            <c:numRef>
              <c:f>Fattori!$N$15:$N$21</c:f>
              <c:numCache/>
            </c:numRef>
          </c:val>
        </c:ser>
        <c:axId val="667517275"/>
        <c:axId val="311957159"/>
      </c:bar3DChart>
      <c:catAx>
        <c:axId val="667517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Fattori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957159"/>
      </c:catAx>
      <c:valAx>
        <c:axId val="311957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517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7658100" cy="377190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0</xdr:rowOff>
    </xdr:from>
    <xdr:ext cx="6562725" cy="358140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38100</xdr:colOff>
      <xdr:row>31</xdr:row>
      <xdr:rowOff>19050</xdr:rowOff>
    </xdr:from>
    <xdr:ext cx="6610350" cy="385762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62975" cy="260032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904875</xdr:colOff>
      <xdr:row>0</xdr:row>
      <xdr:rowOff>0</xdr:rowOff>
    </xdr:from>
    <xdr:ext cx="5962650" cy="260032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200025</xdr:rowOff>
    </xdr:from>
    <xdr:ext cx="5486400" cy="1666875"/>
    <xdr:pic>
      <xdr:nvPicPr>
        <xdr:cNvPr id="0" name="image2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22</xdr:row>
      <xdr:rowOff>200025</xdr:rowOff>
    </xdr:from>
    <xdr:ext cx="6438900" cy="1666875"/>
    <xdr:pic>
      <xdr:nvPicPr>
        <xdr:cNvPr id="0" name="image3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19</xdr:row>
      <xdr:rowOff>190500</xdr:rowOff>
    </xdr:from>
    <xdr:ext cx="7629525" cy="4067175"/>
    <xdr:pic>
      <xdr:nvPicPr>
        <xdr:cNvPr id="0" name="image4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7572375" cy="4010025"/>
    <xdr:pic>
      <xdr:nvPicPr>
        <xdr:cNvPr id="0" name="image1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torspdrs.com/" TargetMode="External"/><Relationship Id="rId2" Type="http://schemas.openxmlformats.org/officeDocument/2006/relationships/hyperlink" Target="https://www.sectorspdrs.com/" TargetMode="External"/><Relationship Id="rId3" Type="http://schemas.openxmlformats.org/officeDocument/2006/relationships/hyperlink" Target="https://www.sectorspdrs.com/" TargetMode="External"/><Relationship Id="rId4" Type="http://schemas.openxmlformats.org/officeDocument/2006/relationships/hyperlink" Target="https://www.sectorspdrs.com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sectorspdrs.com/" TargetMode="External"/><Relationship Id="rId6" Type="http://schemas.openxmlformats.org/officeDocument/2006/relationships/hyperlink" Target="https://marketchameleon.com/Overview/XLV/ETF-Financial-Ratios/" TargetMode="External"/><Relationship Id="rId7" Type="http://schemas.openxmlformats.org/officeDocument/2006/relationships/hyperlink" Target="https://www.gurufocus.com/economic_indicators/57/sp-500-pe-ratio" TargetMode="External"/><Relationship Id="rId8" Type="http://schemas.openxmlformats.org/officeDocument/2006/relationships/hyperlink" Target="https://www.macrotrends.net/2324/sp-500-historical-chart-dat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8.5"/>
  </cols>
  <sheetData>
    <row r="1">
      <c r="P1" s="1">
        <f>DATE(2025,1,2)</f>
        <v>45659</v>
      </c>
      <c r="Q1" s="2" t="s">
        <v>0</v>
      </c>
      <c r="R1" s="3"/>
      <c r="S1" s="3">
        <f>IFERROR(__xludf.DUMMYFUNCTION("(GOOGLEFINANCE(A20,""price"")-INDEX(GOOGLEFINANCE(A20,""price"",""01-01-""&amp;YEAR(TODAY())),2,2))/INDEX(GOOGLEFINANCE(A20,""price"",""01-01-""&amp;YEAR(TODAY())),2,2)"),0.005474705474705419)</f>
        <v>0.005474705475</v>
      </c>
    </row>
    <row r="2">
      <c r="I2" s="4" t="s">
        <v>1</v>
      </c>
    </row>
    <row r="3">
      <c r="I3" s="5" t="s">
        <v>2</v>
      </c>
      <c r="J3" s="6" t="s">
        <v>3</v>
      </c>
      <c r="K3" s="7" t="s">
        <v>4</v>
      </c>
      <c r="L3" s="7" t="s">
        <v>5</v>
      </c>
      <c r="M3" s="7" t="s">
        <v>6</v>
      </c>
      <c r="N3" s="8" t="s">
        <v>7</v>
      </c>
      <c r="O3" s="9" t="s">
        <v>8</v>
      </c>
      <c r="P3" s="10" t="s">
        <v>9</v>
      </c>
      <c r="Q3" s="10" t="s">
        <v>10</v>
      </c>
      <c r="R3" s="10" t="s">
        <v>11</v>
      </c>
      <c r="S3" s="11" t="s">
        <v>12</v>
      </c>
      <c r="T3" s="12" t="s">
        <v>13</v>
      </c>
      <c r="U3" s="13" t="s">
        <v>14</v>
      </c>
    </row>
    <row r="4">
      <c r="H4" s="14" t="s">
        <v>15</v>
      </c>
      <c r="I4" s="15">
        <f t="shared" ref="I4:I15" si="1">D20-$D$31</f>
        <v>0.1</v>
      </c>
      <c r="J4" s="16">
        <f t="shared" ref="J4:J15" si="2">(E20-$E$31)</f>
        <v>0.005719599846</v>
      </c>
      <c r="K4" s="16">
        <f t="shared" ref="K4:K15" si="3">(F20-$F$31)</f>
        <v>-0.008262824618</v>
      </c>
      <c r="L4" s="16">
        <f t="shared" ref="L4:L15" si="4">(G20-$G$31)</f>
        <v>-0.03532110518</v>
      </c>
      <c r="M4" s="16">
        <f t="shared" ref="M4:M15" si="5">(H20-$H$31)</f>
        <v>0.01673804196</v>
      </c>
      <c r="N4" s="16">
        <f t="shared" ref="N4:N15" si="6">(J20-$J$31)</f>
        <v>0.07896223133</v>
      </c>
      <c r="O4" s="17">
        <f t="shared" ref="O4:O14" si="7">(N4*0.15)+(M4*0.25)+(L4*0.3)+(K4*0.2)+(J4*0.1)</f>
        <v>0.004351908696</v>
      </c>
      <c r="P4" s="18">
        <f t="shared" ref="P4:P14" si="8">COUNTIF(I4:M4, "&gt;0")</f>
        <v>3</v>
      </c>
      <c r="Q4" s="19">
        <f t="shared" ref="Q4:Q14" si="9">RANK(O4, $O$4:$O$14)</f>
        <v>6</v>
      </c>
      <c r="R4" s="20">
        <f>IFERROR(HLOOKUP("RS-Mom " &amp; H4, Motore!$AA$1:$AK$2, 2, FALSE), "Dato non trovato")</f>
        <v>0.02625131952</v>
      </c>
      <c r="S4" s="21" t="str">
        <f t="shared" ref="S4:S14" si="10">IF(O4&gt;0, IF(P4&gt;=4, "LEADER", "IN RECUPERO"), "DEBOLE")</f>
        <v>IN RECUPERO</v>
      </c>
      <c r="T4" s="22" t="str">
        <f t="shared" ref="T4:T14" si="11">IF(AND(R4&gt;0.02, S4="IN RECUPERO"), "🔭 ALERT BUY",
 IF(AND(Q4&lt;=3, P4&gt;=4, R4&gt;0), "🔥 ACCUMULA", 
 IF(AND(Q4&lt;=3, P4&gt;=4, R4&lt;=0), "📈 MANTIENI",
 IF(AND(Q4&gt;3, P4&gt;=4), "👀 OSSERVA", "❌ EVITA"))))</f>
        <v>🔭 ALERT BUY</v>
      </c>
      <c r="U4" s="23" t="str">
        <f>IFERROR(__xludf.DUMMYFUNCTION("SPARKLINE(CHOOSE(MATCH(H4, Motore!$C$1:$M$1, 0), 
  Motore!AA2:AA21, Motore!AB2:AB21, Motore!AC2:AC21, 
  Motore!AD2:AD21, Motore!AE2:AE21, Motore!AF2:AF21, 
  Motore!AG2:AG21, Motore!AH2:AH21, Motore!AI2:AI21, 
  Motore!AJ2:AJ21, Motore!AK2:AK21), 
  {"""&amp;"charttype"",""line""; ""linewidth"",2; ""color"",IF(R4&gt;0.01, ""#008000"", IF(R4&lt;-0.01, ""#FF0000"", ""#FFFF00""))})"),"")</f>
        <v/>
      </c>
    </row>
    <row r="5">
      <c r="H5" s="14" t="s">
        <v>16</v>
      </c>
      <c r="I5" s="24">
        <f t="shared" si="1"/>
        <v>0.38</v>
      </c>
      <c r="J5" s="20">
        <f t="shared" si="2"/>
        <v>0.01646999085</v>
      </c>
      <c r="K5" s="20">
        <f t="shared" si="3"/>
        <v>0.01041334694</v>
      </c>
      <c r="L5" s="20">
        <f t="shared" si="4"/>
        <v>0.01566386602</v>
      </c>
      <c r="M5" s="20">
        <f t="shared" si="5"/>
        <v>0.006683203903</v>
      </c>
      <c r="N5" s="20">
        <f t="shared" si="6"/>
        <v>-0.06305535445</v>
      </c>
      <c r="O5" s="17">
        <f t="shared" si="7"/>
        <v>0.0006413260857</v>
      </c>
      <c r="P5" s="18">
        <f t="shared" si="8"/>
        <v>5</v>
      </c>
      <c r="Q5" s="19">
        <f t="shared" si="9"/>
        <v>7</v>
      </c>
      <c r="R5" s="20">
        <f>IFERROR(HLOOKUP("RS-Mom " &amp; H5, Motore!$AA$1:$AK$2, 2, FALSE), "Dato non trovato")</f>
        <v>-0.01932465059</v>
      </c>
      <c r="S5" s="21" t="str">
        <f t="shared" si="10"/>
        <v>LEADER</v>
      </c>
      <c r="T5" s="22" t="str">
        <f t="shared" si="11"/>
        <v>👀 OSSERVA</v>
      </c>
      <c r="U5" s="23" t="str">
        <f>IFERROR(__xludf.DUMMYFUNCTION("SPARKLINE(CHOOSE(MATCH(H5, Motore!$C$1:$M$1, 0), 
  Motore!AA3:AA22, Motore!AB3:AB22, Motore!AC3:AC22, 
  Motore!AD3:AD22, Motore!AE3:AE22, Motore!AF3:AF22, 
  Motore!AG3:AG22, Motore!AH3:AH22, Motore!AI3:AI22, 
  Motore!AJ3:AJ22, Motore!AK3:AK22), 
  {"""&amp;"charttype"",""line""; ""linewidth"",2; ""color"",IF(R5&gt;0.01, ""#008000"", IF(R5&lt;-0.01, ""#FF0000"", ""#FFFF00""))})"),"")</f>
        <v/>
      </c>
    </row>
    <row r="6">
      <c r="H6" s="25" t="s">
        <v>17</v>
      </c>
      <c r="I6" s="24">
        <f t="shared" si="1"/>
        <v>-1.42</v>
      </c>
      <c r="J6" s="20">
        <f t="shared" si="2"/>
        <v>-0.01963715074</v>
      </c>
      <c r="K6" s="20">
        <f t="shared" si="3"/>
        <v>-0.0442823032</v>
      </c>
      <c r="L6" s="20">
        <f t="shared" si="4"/>
        <v>-0.01069808213</v>
      </c>
      <c r="M6" s="20">
        <f t="shared" si="5"/>
        <v>-0.0820956448</v>
      </c>
      <c r="N6" s="20">
        <f t="shared" si="6"/>
        <v>-0.09000009364</v>
      </c>
      <c r="O6" s="17">
        <f t="shared" si="7"/>
        <v>-0.0480535256</v>
      </c>
      <c r="P6" s="18">
        <f t="shared" si="8"/>
        <v>0</v>
      </c>
      <c r="Q6" s="19">
        <f t="shared" si="9"/>
        <v>9</v>
      </c>
      <c r="R6" s="20">
        <f>IFERROR(HLOOKUP("RS-Mom " &amp; H6, Motore!$AA$1:$AK$2, 2, FALSE), "Dato non trovato")</f>
        <v>-0.02203963127</v>
      </c>
      <c r="S6" s="21" t="str">
        <f t="shared" si="10"/>
        <v>DEBOLE</v>
      </c>
      <c r="T6" s="22" t="str">
        <f t="shared" si="11"/>
        <v>❌ EVITA</v>
      </c>
      <c r="U6" s="23" t="str">
        <f>IFERROR(__xludf.DUMMYFUNCTION("SPARKLINE(CHOOSE(MATCH(H6, Motore!$C$1:$M$1, 0), 
  Motore!AA4:AA23, Motore!AB4:AB23, Motore!AC4:AC23, 
  Motore!AD4:AD23, Motore!AE4:AE23, Motore!AF4:AF23, 
  Motore!AG4:AG23, Motore!AH4:AH23, Motore!AI4:AI23, 
  Motore!AJ4:AJ23, Motore!AK4:AK23), 
  {"""&amp;"charttype"",""line""; ""linewidth"",2; ""color"",IF(R6&gt;0.01, ""#008000"", IF(R6&lt;-0.01, ""#FF0000"", ""#FFFF00""))})"),"")</f>
        <v/>
      </c>
    </row>
    <row r="7">
      <c r="H7" s="14" t="s">
        <v>18</v>
      </c>
      <c r="I7" s="24">
        <f t="shared" si="1"/>
        <v>0.57</v>
      </c>
      <c r="J7" s="20">
        <f t="shared" si="2"/>
        <v>0.01356348657</v>
      </c>
      <c r="K7" s="20">
        <f t="shared" si="3"/>
        <v>-0.006996984193</v>
      </c>
      <c r="L7" s="20">
        <f t="shared" si="4"/>
        <v>-0.007529844679</v>
      </c>
      <c r="M7" s="20">
        <f t="shared" si="5"/>
        <v>0.01057999047</v>
      </c>
      <c r="N7" s="20">
        <f t="shared" si="6"/>
        <v>0.03116630994</v>
      </c>
      <c r="O7" s="17">
        <f t="shared" si="7"/>
        <v>0.005017942525</v>
      </c>
      <c r="P7" s="18">
        <f t="shared" si="8"/>
        <v>3</v>
      </c>
      <c r="Q7" s="19">
        <f t="shared" si="9"/>
        <v>5</v>
      </c>
      <c r="R7" s="20">
        <f>IFERROR(HLOOKUP("RS-Mom " &amp; H7, Motore!$AA$1:$AK$2, 2, FALSE), "Dato non trovato")</f>
        <v>-0.0291630248</v>
      </c>
      <c r="S7" s="21" t="str">
        <f t="shared" si="10"/>
        <v>IN RECUPERO</v>
      </c>
      <c r="T7" s="22" t="str">
        <f t="shared" si="11"/>
        <v>❌ EVITA</v>
      </c>
      <c r="U7" s="23" t="str">
        <f>IFERROR(__xludf.DUMMYFUNCTION("SPARKLINE(CHOOSE(MATCH(H7, Motore!$C$1:$M$1, 0), 
  Motore!AA5:AA24, Motore!AB5:AB24, Motore!AC5:AC24, 
  Motore!AD5:AD24, Motore!AE5:AE24, Motore!AF5:AF24, 
  Motore!AG5:AG24, Motore!AH5:AH24, Motore!AI5:AI24, 
  Motore!AJ5:AJ24, Motore!AK5:AK24), 
  {"""&amp;"charttype"",""line""; ""linewidth"",2; ""color"",IF(R7&gt;0.01, ""#008000"", IF(R7&lt;-0.01, ""#FF0000"", ""#FFFF00""))})"),"")</f>
        <v/>
      </c>
      <c r="W7" s="23"/>
    </row>
    <row r="8">
      <c r="H8" s="14" t="s">
        <v>19</v>
      </c>
      <c r="I8" s="24">
        <f t="shared" si="1"/>
        <v>-0.55</v>
      </c>
      <c r="J8" s="20">
        <f t="shared" si="2"/>
        <v>-0.003808728337</v>
      </c>
      <c r="K8" s="20">
        <f t="shared" si="3"/>
        <v>0.01072824407</v>
      </c>
      <c r="L8" s="20">
        <f t="shared" si="4"/>
        <v>0.07008075472</v>
      </c>
      <c r="M8" s="20">
        <f t="shared" si="5"/>
        <v>0.08192239053</v>
      </c>
      <c r="N8" s="20">
        <f t="shared" si="6"/>
        <v>-0.04239604394</v>
      </c>
      <c r="O8" s="17">
        <f t="shared" si="7"/>
        <v>0.03691019344</v>
      </c>
      <c r="P8" s="18">
        <f t="shared" si="8"/>
        <v>3</v>
      </c>
      <c r="Q8" s="19">
        <f t="shared" si="9"/>
        <v>3</v>
      </c>
      <c r="R8" s="20">
        <f>IFERROR(HLOOKUP("RS-Mom " &amp; H8, Motore!$AA$1:$AK$2, 2, FALSE), "Dato non trovato")</f>
        <v>-0.02736969202</v>
      </c>
      <c r="S8" s="21" t="str">
        <f t="shared" si="10"/>
        <v>IN RECUPERO</v>
      </c>
      <c r="T8" s="22" t="str">
        <f t="shared" si="11"/>
        <v>❌ EVITA</v>
      </c>
      <c r="U8" s="23" t="str">
        <f>IFERROR(__xludf.DUMMYFUNCTION("SPARKLINE(CHOOSE(MATCH(H8, Motore!$C$1:$M$1, 0), 
  Motore!AA6:AA25, Motore!AB6:AB25, Motore!AC6:AC25, 
  Motore!AD6:AD25, Motore!AE6:AE25, Motore!AF6:AF25, 
  Motore!AG6:AG25, Motore!AH6:AH25, Motore!AI6:AI25, 
  Motore!AJ6:AJ25, Motore!AK6:AK25), 
  {"""&amp;"charttype"",""line""; ""linewidth"",2; ""color"",IF(R8&gt;0.01, ""#008000"", IF(R8&lt;-0.01, ""#FF0000"", ""#FFFF00""))})"),"")</f>
        <v/>
      </c>
    </row>
    <row r="9">
      <c r="H9" s="25" t="s">
        <v>20</v>
      </c>
      <c r="I9" s="24">
        <f t="shared" si="1"/>
        <v>0.74</v>
      </c>
      <c r="J9" s="20">
        <f t="shared" si="2"/>
        <v>-0.01051554269</v>
      </c>
      <c r="K9" s="20">
        <f t="shared" si="3"/>
        <v>0.06138811158</v>
      </c>
      <c r="L9" s="20">
        <f t="shared" si="4"/>
        <v>0.04075636926</v>
      </c>
      <c r="M9" s="20">
        <f t="shared" si="5"/>
        <v>-0.05420077746</v>
      </c>
      <c r="N9" s="20">
        <f t="shared" si="6"/>
        <v>-0.06934468867</v>
      </c>
      <c r="O9" s="17">
        <f t="shared" si="7"/>
        <v>-0.000498918841</v>
      </c>
      <c r="P9" s="18">
        <f t="shared" si="8"/>
        <v>3</v>
      </c>
      <c r="Q9" s="19">
        <f t="shared" si="9"/>
        <v>8</v>
      </c>
      <c r="R9" s="20">
        <f>IFERROR(HLOOKUP("RS-Mom " &amp; H9, Motore!$AA$1:$AK$2, 2, FALSE), "Dato non trovato")</f>
        <v>-0.02365165399</v>
      </c>
      <c r="S9" s="21" t="str">
        <f t="shared" si="10"/>
        <v>DEBOLE</v>
      </c>
      <c r="T9" s="22" t="str">
        <f t="shared" si="11"/>
        <v>❌ EVITA</v>
      </c>
      <c r="U9" s="23" t="str">
        <f>IFERROR(__xludf.DUMMYFUNCTION("SPARKLINE(CHOOSE(MATCH(H9, Motore!$C$1:$M$1, 0), 
  Motore!AA7:AA26, Motore!AB7:AB26, Motore!AC7:AC26, 
  Motore!AD7:AD26, Motore!AE7:AE26, Motore!AF7:AF26, 
  Motore!AG7:AG26, Motore!AH7:AH26, Motore!AI7:AI26, 
  Motore!AJ7:AJ26, Motore!AK7:AK26), 
  {"""&amp;"charttype"",""line""; ""linewidth"",2; ""color"",IF(R9&gt;0.01, ""#008000"", IF(R9&lt;-0.01, ""#FF0000"", ""#FFFF00""))})"),"")</f>
        <v/>
      </c>
    </row>
    <row r="10">
      <c r="H10" s="25" t="s">
        <v>21</v>
      </c>
      <c r="I10" s="24">
        <f t="shared" si="1"/>
        <v>-0.81</v>
      </c>
      <c r="J10" s="20">
        <f t="shared" si="2"/>
        <v>-0.01297413244</v>
      </c>
      <c r="K10" s="20">
        <f t="shared" si="3"/>
        <v>0.0461545533</v>
      </c>
      <c r="L10" s="20">
        <f t="shared" si="4"/>
        <v>0.04828852626</v>
      </c>
      <c r="M10" s="20">
        <f t="shared" si="5"/>
        <v>-0.01925181592</v>
      </c>
      <c r="N10" s="20">
        <f t="shared" si="6"/>
        <v>0.03044501687</v>
      </c>
      <c r="O10" s="17">
        <f t="shared" si="7"/>
        <v>0.02217385384</v>
      </c>
      <c r="P10" s="18">
        <f t="shared" si="8"/>
        <v>2</v>
      </c>
      <c r="Q10" s="19">
        <f t="shared" si="9"/>
        <v>4</v>
      </c>
      <c r="R10" s="20">
        <f>IFERROR(HLOOKUP("RS-Mom " &amp; H10, Motore!$AA$1:$AK$2, 2, FALSE), "Dato non trovato")</f>
        <v>0.009345775037</v>
      </c>
      <c r="S10" s="21" t="str">
        <f t="shared" si="10"/>
        <v>IN RECUPERO</v>
      </c>
      <c r="T10" s="22" t="str">
        <f t="shared" si="11"/>
        <v>❌ EVITA</v>
      </c>
      <c r="U10" s="23" t="str">
        <f>IFERROR(__xludf.DUMMYFUNCTION("SPARKLINE(CHOOSE(MATCH(H10, Motore!$C$1:$M$1, 0), 
  Motore!AA8:AA27, Motore!AB8:AB27, Motore!AC8:AC27, 
  Motore!AD8:AD27, Motore!AE8:AE27, Motore!AF8:AF27, 
  Motore!AG8:AG27, Motore!AH8:AH27, Motore!AI8:AI27, 
  Motore!AJ8:AJ27, Motore!AK8:AK27), 
  {"&amp;"""charttype"",""line""; ""linewidth"",2; ""color"",IF(R10&gt;0.01, ""#008000"", IF(R10&lt;-0.01, ""#FF0000"", ""#FFFF00""))})"),"")</f>
        <v/>
      </c>
    </row>
    <row r="11">
      <c r="H11" s="25" t="s">
        <v>22</v>
      </c>
      <c r="I11" s="24">
        <f t="shared" si="1"/>
        <v>0.53</v>
      </c>
      <c r="J11" s="20">
        <f t="shared" si="2"/>
        <v>0.01620981962</v>
      </c>
      <c r="K11" s="20">
        <f t="shared" si="3"/>
        <v>0.1144604421</v>
      </c>
      <c r="L11" s="20">
        <f t="shared" si="4"/>
        <v>0.1085859222</v>
      </c>
      <c r="M11" s="20">
        <f t="shared" si="5"/>
        <v>0.03458993976</v>
      </c>
      <c r="N11" s="20">
        <f t="shared" si="6"/>
        <v>-0.05634735447</v>
      </c>
      <c r="O11" s="17">
        <f t="shared" si="7"/>
        <v>0.0572842288</v>
      </c>
      <c r="P11" s="18">
        <f t="shared" si="8"/>
        <v>5</v>
      </c>
      <c r="Q11" s="19">
        <f t="shared" si="9"/>
        <v>1</v>
      </c>
      <c r="R11" s="20">
        <f>IFERROR(HLOOKUP("RS-Mom " &amp; H11, Motore!$AA$1:$AK$2, 2, FALSE), "Dato non trovato")</f>
        <v>0.0314495733</v>
      </c>
      <c r="S11" s="21" t="str">
        <f t="shared" si="10"/>
        <v>LEADER</v>
      </c>
      <c r="T11" s="22" t="str">
        <f t="shared" si="11"/>
        <v>🔥 ACCUMULA</v>
      </c>
      <c r="U11" s="23" t="str">
        <f>IFERROR(__xludf.DUMMYFUNCTION("SPARKLINE(CHOOSE(MATCH(H11, Motore!$C$1:$M$1, 0), 
  Motore!AA9:AA28, Motore!AB9:AB28, Motore!AC9:AC28, 
  Motore!AD9:AD28, Motore!AE9:AE28, Motore!AF9:AF28, 
  Motore!AG9:AG28, Motore!AH9:AH28, Motore!AI9:AI28, 
  Motore!AJ9:AJ28, Motore!AK9:AK28), 
  {"&amp;"""charttype"",""line""; ""linewidth"",2; ""color"",IF(R11&gt;0.01, ""#008000"", IF(R11&lt;-0.01, ""#FF0000"", ""#FFFF00""))})"),"")</f>
        <v/>
      </c>
    </row>
    <row r="12">
      <c r="H12" s="14" t="s">
        <v>23</v>
      </c>
      <c r="I12" s="24">
        <f t="shared" si="1"/>
        <v>0.87</v>
      </c>
      <c r="J12" s="20">
        <f t="shared" si="2"/>
        <v>0.01974358216</v>
      </c>
      <c r="K12" s="20">
        <f t="shared" si="3"/>
        <v>0.08527737504</v>
      </c>
      <c r="L12" s="20">
        <f t="shared" si="4"/>
        <v>0.1173509695</v>
      </c>
      <c r="M12" s="20">
        <f t="shared" si="5"/>
        <v>0.01566358191</v>
      </c>
      <c r="N12" s="20">
        <f t="shared" si="6"/>
        <v>-0.01073656244</v>
      </c>
      <c r="O12" s="17">
        <f t="shared" si="7"/>
        <v>0.05654053518</v>
      </c>
      <c r="P12" s="18">
        <f t="shared" si="8"/>
        <v>5</v>
      </c>
      <c r="Q12" s="19">
        <f t="shared" si="9"/>
        <v>2</v>
      </c>
      <c r="R12" s="20">
        <f>IFERROR(HLOOKUP("RS-Mom " &amp; H12, Motore!$AA$1:$AK$2, 2, FALSE), "Dato non trovato")</f>
        <v>-0.007886161405</v>
      </c>
      <c r="S12" s="21" t="str">
        <f t="shared" si="10"/>
        <v>LEADER</v>
      </c>
      <c r="T12" s="22" t="str">
        <f t="shared" si="11"/>
        <v>📈 MANTIENI</v>
      </c>
      <c r="U12" s="23" t="str">
        <f>IFERROR(__xludf.DUMMYFUNCTION("SPARKLINE(CHOOSE(MATCH(H12, Motore!$C$1:$M$1, 0), 
  Motore!AA10:AA29, Motore!AB10:AB29, Motore!AC10:AC29, 
  Motore!AD10:AD29, Motore!AE10:AE29, Motore!AF10:AF29, 
  Motore!AG10:AG29, Motore!AH10:AH29, Motore!AI10:AI29, 
  Motore!AJ10:AJ29, Motore!AK10:A"&amp;"K29), 
  {""charttype"",""line""; ""linewidth"",2; ""color"",IF(R12&gt;0.01, ""#008000"", IF(R12&lt;-0.01, ""#FF0000"", ""#FFFF00""))})"),"")</f>
        <v/>
      </c>
    </row>
    <row r="13">
      <c r="H13" s="25" t="s">
        <v>24</v>
      </c>
      <c r="I13" s="24">
        <f t="shared" si="1"/>
        <v>-0.39</v>
      </c>
      <c r="J13" s="20">
        <f t="shared" si="2"/>
        <v>-0.02650452869</v>
      </c>
      <c r="K13" s="20">
        <f t="shared" si="3"/>
        <v>-0.003578075502</v>
      </c>
      <c r="L13" s="20">
        <f t="shared" si="4"/>
        <v>-0.07697074774</v>
      </c>
      <c r="M13" s="20">
        <f t="shared" si="5"/>
        <v>-0.06415735253</v>
      </c>
      <c r="N13" s="20">
        <f t="shared" si="6"/>
        <v>-0.06269666264</v>
      </c>
      <c r="O13" s="17">
        <f t="shared" si="7"/>
        <v>-0.05190112982</v>
      </c>
      <c r="P13" s="18">
        <f t="shared" si="8"/>
        <v>0</v>
      </c>
      <c r="Q13" s="19">
        <f t="shared" si="9"/>
        <v>10</v>
      </c>
      <c r="R13" s="20">
        <f>IFERROR(HLOOKUP("RS-Mom " &amp; H13, Motore!$AA$1:$AK$2, 2, FALSE), "Dato non trovato")</f>
        <v>0.01022097678</v>
      </c>
      <c r="S13" s="21" t="str">
        <f t="shared" si="10"/>
        <v>DEBOLE</v>
      </c>
      <c r="T13" s="22" t="str">
        <f t="shared" si="11"/>
        <v>❌ EVITA</v>
      </c>
      <c r="U13" s="23" t="str">
        <f>IFERROR(__xludf.DUMMYFUNCTION("SPARKLINE(CHOOSE(MATCH(H13, Motore!$C$1:$M$1, 0), 
  Motore!AA11:AA30, Motore!AB11:AB30, Motore!AC11:AC30, 
  Motore!AD11:AD30, Motore!AE11:AE30, Motore!AF11:AF30, 
  Motore!AG11:AG30, Motore!AH11:AH30, Motore!AI11:AI30, 
  Motore!AJ11:AJ30, Motore!AK11:A"&amp;"K30), 
  {""charttype"",""line""; ""linewidth"",2; ""color"",IF(R13&gt;0.01, ""#008000"", IF(R13&lt;-0.01, ""#FF0000"", ""#FFFF00""))})"),"")</f>
        <v/>
      </c>
    </row>
    <row r="14">
      <c r="H14" s="14" t="s">
        <v>25</v>
      </c>
      <c r="I14" s="24">
        <f t="shared" si="1"/>
        <v>0.23</v>
      </c>
      <c r="J14" s="20">
        <f t="shared" si="2"/>
        <v>-0.02081673013</v>
      </c>
      <c r="K14" s="20">
        <f t="shared" si="3"/>
        <v>0.01958030916</v>
      </c>
      <c r="L14" s="20">
        <f t="shared" si="4"/>
        <v>-0.04068473343</v>
      </c>
      <c r="M14" s="20">
        <f t="shared" si="5"/>
        <v>-0.1011206151</v>
      </c>
      <c r="N14" s="20">
        <f t="shared" si="6"/>
        <v>-0.1408781274</v>
      </c>
      <c r="O14" s="17">
        <f t="shared" si="7"/>
        <v>-0.05678290408</v>
      </c>
      <c r="P14" s="18">
        <f t="shared" si="8"/>
        <v>2</v>
      </c>
      <c r="Q14" s="19">
        <f t="shared" si="9"/>
        <v>11</v>
      </c>
      <c r="R14" s="20">
        <f>IFERROR(HLOOKUP("RS-Mom " &amp; H14, Motore!$AA$1:$AK$2, 2, FALSE), "Dato non trovato")</f>
        <v>-0.00700879903</v>
      </c>
      <c r="S14" s="21" t="str">
        <f t="shared" si="10"/>
        <v>DEBOLE</v>
      </c>
      <c r="T14" s="22" t="str">
        <f t="shared" si="11"/>
        <v>❌ EVITA</v>
      </c>
      <c r="U14" s="23" t="str">
        <f>IFERROR(__xludf.DUMMYFUNCTION("SPARKLINE(CHOOSE(MATCH(H14, Motore!$C$1:$M$1, 0), 
  Motore!AA12:AA31, Motore!AB12:AB31, Motore!AC12:AC31, 
  Motore!AD12:AD31, Motore!AE12:AE31, Motore!AF12:AF31, 
  Motore!AG12:AG31, Motore!AH12:AH31, Motore!AI12:AI31, 
  Motore!AJ12:AJ31, Motore!AK12:A"&amp;"K31), 
  {""charttype"",""line""; ""linewidth"",2; ""color"",IF(R14&gt;0.01, ""#008000"", IF(R14&lt;-0.01, ""#FF0000"", ""#FFFF00""))})"),"")</f>
        <v/>
      </c>
    </row>
    <row r="15">
      <c r="H15" s="26" t="s">
        <v>26</v>
      </c>
      <c r="I15" s="27">
        <f t="shared" si="1"/>
        <v>0</v>
      </c>
      <c r="J15" s="28">
        <f t="shared" si="2"/>
        <v>0</v>
      </c>
      <c r="K15" s="28">
        <f t="shared" si="3"/>
        <v>0</v>
      </c>
      <c r="L15" s="28">
        <f t="shared" si="4"/>
        <v>0</v>
      </c>
      <c r="M15" s="28">
        <f t="shared" si="5"/>
        <v>0</v>
      </c>
      <c r="N15" s="28">
        <f t="shared" si="6"/>
        <v>0</v>
      </c>
      <c r="O15" s="29"/>
      <c r="P15" s="30"/>
      <c r="Q15" s="31"/>
      <c r="R15" s="32"/>
      <c r="S15" s="33"/>
      <c r="T15" s="34"/>
    </row>
    <row r="16">
      <c r="K16" s="35"/>
    </row>
    <row r="19">
      <c r="A19" s="36" t="s">
        <v>27</v>
      </c>
      <c r="B19" s="36" t="s">
        <v>28</v>
      </c>
      <c r="C19" s="36" t="s">
        <v>29</v>
      </c>
      <c r="D19" s="37" t="s">
        <v>30</v>
      </c>
      <c r="E19" s="38" t="s">
        <v>31</v>
      </c>
      <c r="F19" s="39" t="s">
        <v>32</v>
      </c>
      <c r="G19" s="40" t="s">
        <v>33</v>
      </c>
      <c r="H19" s="41" t="s">
        <v>34</v>
      </c>
      <c r="I19" s="42" t="s">
        <v>35</v>
      </c>
      <c r="J19" s="43" t="s">
        <v>36</v>
      </c>
      <c r="K19" s="36" t="s">
        <v>37</v>
      </c>
      <c r="L19" s="36" t="s">
        <v>38</v>
      </c>
      <c r="M19" s="36" t="s">
        <v>39</v>
      </c>
      <c r="N19" s="2" t="s">
        <v>40</v>
      </c>
      <c r="O19" s="2" t="s">
        <v>41</v>
      </c>
    </row>
    <row r="20">
      <c r="A20" s="44" t="s">
        <v>15</v>
      </c>
      <c r="B20" s="36" t="str">
        <f>IFERROR(__xludf.DUMMYFUNCTION("GOOGLEFINANCE(A20,""name"")"),"State Street Technology Select Sector SPDR ETF")</f>
        <v>State Street Technology Select Sector SPDR ETF</v>
      </c>
      <c r="C20" s="45">
        <f>IFERROR(__xludf.DUMMYFUNCTION("GOOGLEFINANCE(A20,""price"")"),145.09)</f>
        <v>145.09</v>
      </c>
      <c r="D20" s="46">
        <f>IFERROR(__xludf.DUMMYFUNCTION("GOOGLEFINANCE(A20,""changepct"")"),0.14)</f>
        <v>0.14</v>
      </c>
      <c r="E20" s="47">
        <f>IFERROR(__xludf.DUMMYFUNCTION(" ((GOOGLEFINANCE(A20,""price"") - INDEX(GOOGLEFINANCE(A20,""price"",TODAY()-7),2,2)) / INDEX(GOOGLEFINANCE(A20,""price"",TODAY()-7),2,2))
"),0.022913141567963903)</f>
        <v>0.02291314157</v>
      </c>
      <c r="F20" s="47">
        <f>IFERROR(__xludf.DUMMYFUNCTION(" ((GOOGLEFINANCE(A20,""price"") - INDEX(GOOGLEFINANCE(A20,""price"",TODAY()-30),2,2)) / INDEX(GOOGLEFINANCE(A20,""price"",TODAY()-30),2,2))
"),-0.00982733911144474)</f>
        <v>-0.009827339111</v>
      </c>
      <c r="G20" s="48">
        <f>IFERROR(__xludf.DUMMYFUNCTION(" ((GOOGLEFINANCE(A20,""price"") - INDEX(GOOGLEFINANCE(A20,""price"",TODAY()-90),2,2)) / INDEX(GOOGLEFINANCE(A20,""price"",TODAY()-90),2,2))"),-0.0294983277591973)</f>
        <v>-0.02949832776</v>
      </c>
      <c r="H20" s="48">
        <f>IFERROR(__xludf.DUMMYFUNCTION(" ((GOOGLEFINANCE(A20,""price"") - INDEX(GOOGLEFINANCE(A20,""price"",TODAY()-182),2,2)) / INDEX(GOOGLEFINANCE(A20,""price"",TODAY()-182),2,2))"),0.09883368676158749)</f>
        <v>0.09883368676</v>
      </c>
      <c r="I20" s="20">
        <f>IFERROR(__xludf.DUMMYFUNCTION("(GOOGLEFINANCE(A20,""price"")-INDEX(GOOGLEFINANCE(A20,""price"",""01-01-""&amp;YEAR(TODAY())),2,2))/INDEX(GOOGLEFINANCE(A20,""price"",""01-01-""&amp;YEAR(TODAY())),2,2)"),0.005474705474705419)</f>
        <v>0.005474705475</v>
      </c>
      <c r="J20" s="47">
        <f>IFERROR(__xludf.DUMMYFUNCTION(" ((GOOGLEFINANCE(A20,""price"") - INDEX(GOOGLEFINANCE(A20,""price"",TODAY()-365),2,2)) / INDEX(GOOGLEFINANCE(A20,""price"",TODAY()-365),2,2))
"),0.21262014208106975)</f>
        <v>0.2126201421</v>
      </c>
      <c r="K20" s="48">
        <f>IFERROR(__xludf.DUMMYFUNCTION(" ((GOOGLEFINANCE(A20,""price"") - INDEX(GOOGLEFINANCE(A20,""price"",TODAY()-730),2,2)) / INDEX(GOOGLEFINANCE(A20,""price"",TODAY()-730),2,2))"),0.4217540421362078)</f>
        <v>0.4217540421</v>
      </c>
      <c r="L20" s="48">
        <f>IFERROR(__xludf.DUMMYFUNCTION(" ((GOOGLEFINANCE(A20,""price"") - INDEX(GOOGLEFINANCE(A20,""price"",TODAY()-1095),2,2)) / INDEX(GOOGLEFINANCE(A20,""price"",TODAY()-1095),2,2))"),1.1655223880597017)</f>
        <v>1.165522388</v>
      </c>
      <c r="M20" s="49">
        <f>IFERROR(__xludf.DUMMYFUNCTION(" ((GOOGLEFINANCE(A20,""price"") - INDEX(GOOGLEFINANCE(A20,""price"",TODAY()-1825),2,2)) / INDEX(GOOGLEFINANCE(A20,""price"",TODAY()-1825),2,2))"),1.166492459310139)</f>
        <v>1.166492459</v>
      </c>
      <c r="N20" s="49">
        <f>IFERROR(__xludf.DUMMYFUNCTION(" ((GOOGLEFINANCE(A20,""price"") - INDEX(GOOGLEFINANCE(A20,""price"",TODAY()-3650),2,2)) / INDEX(GOOGLEFINANCE(A20,""price"",TODAY()-3650),2,2))"),6.3500506585612975)</f>
        <v>6.350050659</v>
      </c>
      <c r="O20" s="49">
        <f>IFERROR(__xludf.DUMMYFUNCTION(" ((GOOGLEFINANCE(A20,""price"") - INDEX(GOOGLEFINANCE(A20,""price"",TODAY()-7300),2,2)) / INDEX(GOOGLEFINANCE(A20,""price"",TODAY()-7300),2,2))"),12.323232323232322)</f>
        <v>12.32323232</v>
      </c>
      <c r="P20" s="20"/>
    </row>
    <row r="21">
      <c r="A21" s="44" t="s">
        <v>16</v>
      </c>
      <c r="B21" s="36" t="str">
        <f>IFERROR(__xludf.DUMMYFUNCTION("GOOGLEFINANCE(A21,""name"")"),"State Street Cons Disc Sel Sect SPDR Income ETF")</f>
        <v>State Street Cons Disc Sel Sect SPDR Income ETF</v>
      </c>
      <c r="C21" s="45">
        <f>IFERROR(__xludf.DUMMYFUNCTION("GOOGLEFINANCE(A21,""price"")"),123.13)</f>
        <v>123.13</v>
      </c>
      <c r="D21" s="46">
        <f>IFERROR(__xludf.DUMMYFUNCTION("GOOGLEFINANCE(A21,""changepct"")"),0.42)</f>
        <v>0.42</v>
      </c>
      <c r="E21" s="47">
        <f>IFERROR(__xludf.DUMMYFUNCTION(" ((GOOGLEFINANCE(A21,""price"") - INDEX(GOOGLEFINANCE(A21,""price"",TODAY()-7),2,2)) / INDEX(GOOGLEFINANCE(A21,""price"",TODAY()-7),2,2))
"),0.03366353257219603)</f>
        <v>0.03366353257</v>
      </c>
      <c r="F21" s="47">
        <f>IFERROR(__xludf.DUMMYFUNCTION(" ((GOOGLEFINANCE(A21,""price"") - INDEX(GOOGLEFINANCE(A21,""price"",TODAY()-30),2,2)) / INDEX(GOOGLEFINANCE(A21,""price"",TODAY()-30),2,2))
"),0.008848832445718954)</f>
        <v>0.008848832446</v>
      </c>
      <c r="G21" s="48">
        <f>IFERROR(__xludf.DUMMYFUNCTION(" ((GOOGLEFINANCE(A21,""price"") - INDEX(GOOGLEFINANCE(A21,""price"",TODAY()-90),2,2)) / INDEX(GOOGLEFINANCE(A21,""price"",TODAY()-90),2,2))"),0.02148664343786286)</f>
        <v>0.02148664344</v>
      </c>
      <c r="H21" s="48">
        <f>IFERROR(__xludf.DUMMYFUNCTION(" ((GOOGLEFINANCE(A21,""price"") - INDEX(GOOGLEFINANCE(A21,""price"",TODAY()-182),2,2)) / INDEX(GOOGLEFINANCE(A21,""price"",TODAY()-182),2,2))"),0.0887788487045715)</f>
        <v>0.0887788487</v>
      </c>
      <c r="I21" s="20">
        <f>IFERROR(__xludf.DUMMYFUNCTION("(GOOGLEFINANCE(A21,""price"")-INDEX(GOOGLEFINANCE(A21,""price"",""01-01-""&amp;YEAR(TODAY())),2,2))/INDEX(GOOGLEFINANCE(A21,""price"",""01-01-""&amp;YEAR(TODAY())),2,2)"),0.04038867765103508)</f>
        <v>0.04038867765</v>
      </c>
      <c r="J21" s="47">
        <f>IFERROR(__xludf.DUMMYFUNCTION(" ((GOOGLEFINANCE(A21,""price"") - INDEX(GOOGLEFINANCE(A21,""price"",TODAY()-365),2,2)) / INDEX(GOOGLEFINANCE(A21,""price"",TODAY()-365),2,2))
"),0.07060255629945214)</f>
        <v>0.0706025563</v>
      </c>
      <c r="K21" s="48">
        <f>IFERROR(__xludf.DUMMYFUNCTION(" ((GOOGLEFINANCE(A21,""price"") - INDEX(GOOGLEFINANCE(A21,""price"",TODAY()-730),2,2)) / INDEX(GOOGLEFINANCE(A21,""price"",TODAY()-730),2,2))"),0.4409596255119952)</f>
        <v>0.4409596255</v>
      </c>
      <c r="L21" s="48">
        <f>IFERROR(__xludf.DUMMYFUNCTION(" ((GOOGLEFINANCE(A21,""price"") - INDEX(GOOGLEFINANCE(A21,""price"",TODAY()-1095),2,2)) / INDEX(GOOGLEFINANCE(A21,""price"",TODAY()-1095),2,2))"),0.7376517075924357)</f>
        <v>0.7376517076</v>
      </c>
      <c r="M21" s="49">
        <f>IFERROR(__xludf.DUMMYFUNCTION(" ((GOOGLEFINANCE(A21,""price"") - INDEX(GOOGLEFINANCE(A21,""price"",TODAY()-1825),2,2)) / INDEX(GOOGLEFINANCE(A21,""price"",TODAY()-1825),2,2))"),0.4423099449455311)</f>
        <v>0.4423099449</v>
      </c>
      <c r="N21" s="49">
        <f>IFERROR(__xludf.DUMMYFUNCTION(" ((GOOGLEFINANCE(A21,""price"") - INDEX(GOOGLEFINANCE(A21,""price"",TODAY()-3650),2,2)) / INDEX(GOOGLEFINANCE(A21,""price"",TODAY()-3650),2,2))"),2.402321083172147)</f>
        <v>2.402321083</v>
      </c>
      <c r="O21" s="49">
        <f>IFERROR(__xludf.DUMMYFUNCTION(" ((GOOGLEFINANCE(A21,""price"") - INDEX(GOOGLEFINANCE(A21,""price"",TODAY()-7300),2,2)) / INDEX(GOOGLEFINANCE(A21,""price"",TODAY()-7300),2,2))"),6.381894484412469)</f>
        <v>6.381894484</v>
      </c>
      <c r="P21" s="20"/>
    </row>
    <row r="22">
      <c r="A22" s="50" t="s">
        <v>17</v>
      </c>
      <c r="B22" s="36" t="str">
        <f>IFERROR(__xludf.DUMMYFUNCTION("GOOGLEFINANCE(A22,""name"")"),"State Street Financial Sel Sec SPDR ETF")</f>
        <v>State Street Financial Sel Sec SPDR ETF</v>
      </c>
      <c r="C22" s="45">
        <f>IFERROR(__xludf.DUMMYFUNCTION("GOOGLEFINANCE(A22,""price"")"),53.07)</f>
        <v>53.07</v>
      </c>
      <c r="D22" s="46">
        <f>IFERROR(__xludf.DUMMYFUNCTION("GOOGLEFINANCE(A22,""changepct"")"),-1.38)</f>
        <v>-1.38</v>
      </c>
      <c r="E22" s="47">
        <f>IFERROR(__xludf.DUMMYFUNCTION(" ((GOOGLEFINANCE(A22,""price"") - INDEX(GOOGLEFINANCE(A22,""price"",TODAY()-7),2,2)) / INDEX(GOOGLEFINANCE(A22,""price"",TODAY()-7),2,2))
"),-0.0024436090225564387)</f>
        <v>-0.002443609023</v>
      </c>
      <c r="F22" s="47">
        <f>IFERROR(__xludf.DUMMYFUNCTION(" ((GOOGLEFINANCE(A22,""price"") - INDEX(GOOGLEFINANCE(A22,""price"",TODAY()-30),2,2)) / INDEX(GOOGLEFINANCE(A22,""price"",TODAY()-30),2,2))
"),-0.04584681769147784)</f>
        <v>-0.04584681769</v>
      </c>
      <c r="G22" s="48">
        <f>IFERROR(__xludf.DUMMYFUNCTION(" ((GOOGLEFINANCE(A22,""price"") - INDEX(GOOGLEFINANCE(A22,""price"",TODAY()-90),2,2)) / INDEX(GOOGLEFINANCE(A22,""price"",TODAY()-90),2,2))"),-0.004875304706544122)</f>
        <v>-0.004875304707</v>
      </c>
      <c r="H22" s="48">
        <f>IFERROR(__xludf.DUMMYFUNCTION(" ((GOOGLEFINANCE(A22,""price"") - INDEX(GOOGLEFINANCE(A22,""price"",TODAY()-182),2,2)) / INDEX(GOOGLEFINANCE(A22,""price"",TODAY()-182),2,2))"),0.0)</f>
        <v>0</v>
      </c>
      <c r="I22" s="20">
        <f>IFERROR(__xludf.DUMMYFUNCTION("(GOOGLEFINANCE(A22,""price"")-INDEX(GOOGLEFINANCE(A22,""price"",""01-01-""&amp;YEAR(TODAY())),2,2))/INDEX(GOOGLEFINANCE(A22,""price"",""01-01-""&amp;YEAR(TODAY())),2,2)"),-0.033861277990169296)</f>
        <v>-0.03386127799</v>
      </c>
      <c r="J22" s="47">
        <f>IFERROR(__xludf.DUMMYFUNCTION(" ((GOOGLEFINANCE(A22,""price"") - INDEX(GOOGLEFINANCE(A22,""price"",TODAY()-365),2,2)) / INDEX(GOOGLEFINANCE(A22,""price"",TODAY()-365),2,2))
"),0.04365781710914452)</f>
        <v>0.04365781711</v>
      </c>
      <c r="K22" s="48">
        <f>IFERROR(__xludf.DUMMYFUNCTION(" ((GOOGLEFINANCE(A22,""price"") - INDEX(GOOGLEFINANCE(A22,""price"",TODAY()-730),2,2)) / INDEX(GOOGLEFINANCE(A22,""price"",TODAY()-730),2,2))"),0.3780836146455467)</f>
        <v>0.3780836146</v>
      </c>
      <c r="L22" s="48">
        <f>IFERROR(__xludf.DUMMYFUNCTION(" ((GOOGLEFINANCE(A22,""price"") - INDEX(GOOGLEFINANCE(A22,""price"",TODAY()-1095),2,2)) / INDEX(GOOGLEFINANCE(A22,""price"",TODAY()-1095),2,2))"),0.4717138103161397)</f>
        <v>0.4717138103</v>
      </c>
      <c r="M22" s="49">
        <f>IFERROR(__xludf.DUMMYFUNCTION(" ((GOOGLEFINANCE(A22,""price"") - INDEX(GOOGLEFINANCE(A22,""price"",TODAY()-1825),2,2)) / INDEX(GOOGLEFINANCE(A22,""price"",TODAY()-1825),2,2))"),0.7619521912350598)</f>
        <v>0.7619521912</v>
      </c>
      <c r="N22" s="49">
        <f>IFERROR(__xludf.DUMMYFUNCTION(" ((GOOGLEFINANCE(A22,""price"") - INDEX(GOOGLEFINANCE(A22,""price"",TODAY()-3650),2,2)) / INDEX(GOOGLEFINANCE(A22,""price"",TODAY()-3650),2,2))"),2.809763101220388)</f>
        <v>2.809763101</v>
      </c>
      <c r="O22" s="49">
        <f>IFERROR(__xludf.DUMMYFUNCTION(" ((GOOGLEFINANCE(A22,""price"") - INDEX(GOOGLEFINANCE(A22,""price"",TODAY()-7300),2,2)) / INDEX(GOOGLEFINANCE(A22,""price"",TODAY()-7300),2,2))"),1.5092198581560285)</f>
        <v>1.509219858</v>
      </c>
      <c r="P22" s="20"/>
    </row>
    <row r="23">
      <c r="A23" s="44" t="s">
        <v>18</v>
      </c>
      <c r="B23" s="36" t="str">
        <f>IFERROR(__xludf.DUMMYFUNCTION("GOOGLEFINANCE(A23,""name"")"),"State Street Com Svc Sel Sec SPDR ETF")</f>
        <v>State Street Com Svc Sel Sec SPDR ETF</v>
      </c>
      <c r="C23" s="45">
        <f>IFERROR(__xludf.DUMMYFUNCTION("GOOGLEFINANCE(A23,""price"")"),116.96)</f>
        <v>116.96</v>
      </c>
      <c r="D23" s="46">
        <f>IFERROR(__xludf.DUMMYFUNCTION("GOOGLEFINANCE(A23,""changepct"")"),0.61)</f>
        <v>0.61</v>
      </c>
      <c r="E23" s="47">
        <f>IFERROR(__xludf.DUMMYFUNCTION(" ((GOOGLEFINANCE(A23,""price"") - INDEX(GOOGLEFINANCE(A23,""price"",TODAY()-7),2,2)) / INDEX(GOOGLEFINANCE(A23,""price"",TODAY()-7),2,2))
"),0.03075702828941566)</f>
        <v>0.03075702829</v>
      </c>
      <c r="F23" s="47">
        <f>IFERROR(__xludf.DUMMYFUNCTION(" ((GOOGLEFINANCE(A23,""price"") - INDEX(GOOGLEFINANCE(A23,""price"",TODAY()-30),2,2)) / INDEX(GOOGLEFINANCE(A23,""price"",TODAY()-30),2,2))
"),-0.008561498686106681)</f>
        <v>-0.008561498686</v>
      </c>
      <c r="G23" s="48">
        <f>IFERROR(__xludf.DUMMYFUNCTION(" ((GOOGLEFINANCE(A23,""price"") - INDEX(GOOGLEFINANCE(A23,""price"",TODAY()-90),2,2)) / INDEX(GOOGLEFINANCE(A23,""price"",TODAY()-90),2,2))"),-0.0017070672584500073)</f>
        <v>-0.001707067258</v>
      </c>
      <c r="H23" s="48">
        <f>IFERROR(__xludf.DUMMYFUNCTION(" ((GOOGLEFINANCE(A23,""price"") - INDEX(GOOGLEFINANCE(A23,""price"",TODAY()-182),2,2)) / INDEX(GOOGLEFINANCE(A23,""price"",TODAY()-182),2,2))"),0.09267563527653201)</f>
        <v>0.09267563528</v>
      </c>
      <c r="I23" s="20">
        <f>IFERROR(__xludf.DUMMYFUNCTION("(GOOGLEFINANCE(A23,""price"")-INDEX(GOOGLEFINANCE(A23,""price"",""01-01-""&amp;YEAR(TODAY())),2,2))/INDEX(GOOGLEFINANCE(A23,""price"",""01-01-""&amp;YEAR(TODAY())),2,2)"),5.132591958938243E-4)</f>
        <v>0.0005132591959</v>
      </c>
      <c r="J23" s="47">
        <f>IFERROR(__xludf.DUMMYFUNCTION(" ((GOOGLEFINANCE(A23,""price"") - INDEX(GOOGLEFINANCE(A23,""price"",TODAY()-365),2,2)) / INDEX(GOOGLEFINANCE(A23,""price"",TODAY()-365),2,2))
"),0.16482422069514988)</f>
        <v>0.1648242207</v>
      </c>
      <c r="K23" s="48">
        <f>IFERROR(__xludf.DUMMYFUNCTION(" ((GOOGLEFINANCE(A23,""price"") - INDEX(GOOGLEFINANCE(A23,""price"",TODAY()-730),2,2)) / INDEX(GOOGLEFINANCE(A23,""price"",TODAY()-730),2,2))"),0.5105256360583751)</f>
        <v>0.5105256361</v>
      </c>
      <c r="L23" s="48">
        <f>IFERROR(__xludf.DUMMYFUNCTION(" ((GOOGLEFINANCE(A23,""price"") - INDEX(GOOGLEFINANCE(A23,""price"",TODAY()-1095),2,2)) / INDEX(GOOGLEFINANCE(A23,""price"",TODAY()-1095),2,2))"),1.1631218790456814)</f>
        <v>1.163121879</v>
      </c>
      <c r="M23" s="49">
        <f>IFERROR(__xludf.DUMMYFUNCTION(" ((GOOGLEFINANCE(A23,""price"") - INDEX(GOOGLEFINANCE(A23,""price"",TODAY()-1825),2,2)) / INDEX(GOOGLEFINANCE(A23,""price"",TODAY()-1825),2,2))"),0.6891969959560947)</f>
        <v>0.689196996</v>
      </c>
      <c r="N23" s="49"/>
      <c r="O23" s="49"/>
      <c r="P23" s="20"/>
    </row>
    <row r="24">
      <c r="A24" s="44" t="s">
        <v>19</v>
      </c>
      <c r="B24" s="36" t="str">
        <f>IFERROR(__xludf.DUMMYFUNCTION("GOOGLEFINANCE(A24,""name"")"),"State Street Health Care Select Sector SPDR ETF")</f>
        <v>State Street Health Care Select Sector SPDR ETF</v>
      </c>
      <c r="C24" s="45">
        <f>IFERROR(__xludf.DUMMYFUNCTION("GOOGLEFINANCE(A24,""price"")"),157.48)</f>
        <v>157.48</v>
      </c>
      <c r="D24" s="46">
        <f>IFERROR(__xludf.DUMMYFUNCTION("GOOGLEFINANCE(A24,""changepct"")"),-0.51)</f>
        <v>-0.51</v>
      </c>
      <c r="E24" s="47">
        <f>IFERROR(__xludf.DUMMYFUNCTION(" ((GOOGLEFINANCE(A24,""price"") - INDEX(GOOGLEFINANCE(A24,""price"",TODAY()-7),2,2)) / INDEX(GOOGLEFINANCE(A24,""price"",TODAY()-7),2,2))
"),0.013384813384813283)</f>
        <v>0.01338481338</v>
      </c>
      <c r="F24" s="47">
        <f>IFERROR(__xludf.DUMMYFUNCTION(" ((GOOGLEFINANCE(A24,""price"") - INDEX(GOOGLEFINANCE(A24,""price"",TODAY()-30),2,2)) / INDEX(GOOGLEFINANCE(A24,""price"",TODAY()-30),2,2))
"),0.009163729573854395)</f>
        <v>0.009163729574</v>
      </c>
      <c r="G24" s="48">
        <f>IFERROR(__xludf.DUMMYFUNCTION(" ((GOOGLEFINANCE(A24,""price"") - INDEX(GOOGLEFINANCE(A24,""price"",TODAY()-90),2,2)) / INDEX(GOOGLEFINANCE(A24,""price"",TODAY()-90),2,2))"),0.07590353214456504)</f>
        <v>0.07590353214</v>
      </c>
      <c r="H24" s="48">
        <f>IFERROR(__xludf.DUMMYFUNCTION(" ((GOOGLEFINANCE(A24,""price"") - INDEX(GOOGLEFINANCE(A24,""price"",TODAY()-182),2,2)) / INDEX(GOOGLEFINANCE(A24,""price"",TODAY()-182),2,2))"),0.16401803533151008)</f>
        <v>0.1640180353</v>
      </c>
      <c r="I24" s="20">
        <f>IFERROR(__xludf.DUMMYFUNCTION("(GOOGLEFINANCE(A24,""price"")-INDEX(GOOGLEFINANCE(A24,""price"",""01-01-""&amp;YEAR(TODAY())),2,2))/INDEX(GOOGLEFINANCE(A24,""price"",""01-01-""&amp;YEAR(TODAY())),2,2)"),0.012667995627290842)</f>
        <v>0.01266799563</v>
      </c>
      <c r="J24" s="47">
        <f>IFERROR(__xludf.DUMMYFUNCTION(" ((GOOGLEFINANCE(A24,""price"") - INDEX(GOOGLEFINANCE(A24,""price"",TODAY()-365),2,2)) / INDEX(GOOGLEFINANCE(A24,""price"",TODAY()-365),2,2))
"),0.09126186681449648)</f>
        <v>0.09126186681</v>
      </c>
      <c r="K24" s="48">
        <f>IFERROR(__xludf.DUMMYFUNCTION(" ((GOOGLEFINANCE(A24,""price"") - INDEX(GOOGLEFINANCE(A24,""price"",TODAY()-730),2,2)) / INDEX(GOOGLEFINANCE(A24,""price"",TODAY()-730),2,2))"),0.1372039283651069)</f>
        <v>0.1372039284</v>
      </c>
      <c r="L24" s="48">
        <f>IFERROR(__xludf.DUMMYFUNCTION(" ((GOOGLEFINANCE(A24,""price"") - INDEX(GOOGLEFINANCE(A24,""price"",TODAY()-1095),2,2)) / INDEX(GOOGLEFINANCE(A24,""price"",TODAY()-1095),2,2))"),0.1794487717195924)</f>
        <v>0.1794487717</v>
      </c>
      <c r="M24" s="49">
        <f>IFERROR(__xludf.DUMMYFUNCTION(" ((GOOGLEFINANCE(A24,""price"") - INDEX(GOOGLEFINANCE(A24,""price"",TODAY()-1825),2,2)) / INDEX(GOOGLEFINANCE(A24,""price"",TODAY()-1825),2,2))"),0.33051706657654606)</f>
        <v>0.3305170666</v>
      </c>
      <c r="N24" s="49">
        <f>IFERROR(__xludf.DUMMYFUNCTION(" ((GOOGLEFINANCE(A24,""price"") - INDEX(GOOGLEFINANCE(A24,""price"",TODAY()-3650),2,2)) / INDEX(GOOGLEFINANCE(A24,""price"",TODAY()-3650),2,2))"),1.3518518518518519)</f>
        <v>1.351851852</v>
      </c>
      <c r="O24" s="49">
        <f>IFERROR(__xludf.DUMMYFUNCTION(" ((GOOGLEFINANCE(A24,""price"") - INDEX(GOOGLEFINANCE(A24,""price"",TODAY()-7300),2,2)) / INDEX(GOOGLEFINANCE(A24,""price"",TODAY()-7300),2,2))"),3.8998133167392655)</f>
        <v>3.899813317</v>
      </c>
      <c r="P24" s="20"/>
    </row>
    <row r="25">
      <c r="A25" s="50" t="s">
        <v>20</v>
      </c>
      <c r="B25" s="36" t="str">
        <f>IFERROR(__xludf.DUMMYFUNCTION("GOOGLEFINANCE(A25,""name"")"),"State Street Cons Staples Sel Sec SPDR Inc ETF")</f>
        <v>State Street Cons Staples Sel Sec SPDR Inc ETF</v>
      </c>
      <c r="C25" s="45">
        <f>IFERROR(__xludf.DUMMYFUNCTION("GOOGLEFINANCE(A25,""price"")"),82.91)</f>
        <v>82.91</v>
      </c>
      <c r="D25" s="46">
        <f>IFERROR(__xludf.DUMMYFUNCTION("GOOGLEFINANCE(A25,""changepct"")"),0.78)</f>
        <v>0.78</v>
      </c>
      <c r="E25" s="47">
        <f>IFERROR(__xludf.DUMMYFUNCTION(" ((GOOGLEFINANCE(A25,""price"") - INDEX(GOOGLEFINANCE(A25,""price"",TODAY()-7),2,2)) / INDEX(GOOGLEFINANCE(A25,""price"",TODAY()-7),2,2))
"),0.006677999028654652)</f>
        <v>0.006677999029</v>
      </c>
      <c r="F25" s="47">
        <f>IFERROR(__xludf.DUMMYFUNCTION(" ((GOOGLEFINANCE(A25,""price"") - INDEX(GOOGLEFINANCE(A25,""price"",TODAY()-30),2,2)) / INDEX(GOOGLEFINANCE(A25,""price"",TODAY()-30),2,2))
"),0.05982359708551697)</f>
        <v>0.05982359709</v>
      </c>
      <c r="G25" s="48">
        <f>IFERROR(__xludf.DUMMYFUNCTION(" ((GOOGLEFINANCE(A25,""price"") - INDEX(GOOGLEFINANCE(A25,""price"",TODAY()-90),2,2)) / INDEX(GOOGLEFINANCE(A25,""price"",TODAY()-90),2,2))"),0.04657914668013125)</f>
        <v>0.04657914668</v>
      </c>
      <c r="H25" s="48">
        <f>IFERROR(__xludf.DUMMYFUNCTION(" ((GOOGLEFINANCE(A25,""price"") - INDEX(GOOGLEFINANCE(A25,""price"",TODAY()-182),2,2)) / INDEX(GOOGLEFINANCE(A25,""price"",TODAY()-182),2,2))"),0.02789486734440863)</f>
        <v>0.02789486734</v>
      </c>
      <c r="I25" s="20">
        <f>IFERROR(__xludf.DUMMYFUNCTION("(GOOGLEFINANCE(A25,""price"")-INDEX(GOOGLEFINANCE(A25,""price"",""01-01-""&amp;YEAR(TODAY())),2,2))/INDEX(GOOGLEFINANCE(A25,""price"",""01-01-""&amp;YEAR(TODAY())),2,2)"),0.06719011455785814)</f>
        <v>0.06719011456</v>
      </c>
      <c r="J25" s="47">
        <f>IFERROR(__xludf.DUMMYFUNCTION(" ((GOOGLEFINANCE(A25,""price"") - INDEX(GOOGLEFINANCE(A25,""price"",TODAY()-365),2,2)) / INDEX(GOOGLEFINANCE(A25,""price"",TODAY()-365),2,2))
"),0.0643132220795891)</f>
        <v>0.06431322208</v>
      </c>
      <c r="K25" s="48">
        <f>IFERROR(__xludf.DUMMYFUNCTION(" ((GOOGLEFINANCE(A25,""price"") - INDEX(GOOGLEFINANCE(A25,""price"",TODAY()-730),2,2)) / INDEX(GOOGLEFINANCE(A25,""price"",TODAY()-730),2,2))"),0.14706696181516318)</f>
        <v>0.1470669618</v>
      </c>
      <c r="L25" s="48">
        <f>IFERROR(__xludf.DUMMYFUNCTION(" ((GOOGLEFINANCE(A25,""price"") - INDEX(GOOGLEFINANCE(A25,""price"",TODAY()-1095),2,2)) / INDEX(GOOGLEFINANCE(A25,""price"",TODAY()-1095),2,2))"),0.13064230192281465)</f>
        <v>0.1306423019</v>
      </c>
      <c r="M25" s="49">
        <f>IFERROR(__xludf.DUMMYFUNCTION(" ((GOOGLEFINANCE(A25,""price"") - INDEX(GOOGLEFINANCE(A25,""price"",TODAY()-1825),2,2)) / INDEX(GOOGLEFINANCE(A25,""price"",TODAY()-1825),2,2))"),0.26156421180766887)</f>
        <v>0.2615642118</v>
      </c>
      <c r="N25" s="49">
        <f>IFERROR(__xludf.DUMMYFUNCTION(" ((GOOGLEFINANCE(A25,""price"") - INDEX(GOOGLEFINANCE(A25,""price"",TODAY()-3650),2,2)) / INDEX(GOOGLEFINANCE(A25,""price"",TODAY()-3650),2,2))"),0.6834517766497461)</f>
        <v>0.6834517766</v>
      </c>
      <c r="O25" s="49">
        <f>IFERROR(__xludf.DUMMYFUNCTION(" ((GOOGLEFINANCE(A25,""price"") - INDEX(GOOGLEFINANCE(A25,""price"",TODAY()-7300),2,2)) / INDEX(GOOGLEFINANCE(A25,""price"",TODAY()-7300),2,2))"),2.537116040955631)</f>
        <v>2.537116041</v>
      </c>
      <c r="P25" s="20"/>
    </row>
    <row r="26">
      <c r="A26" s="50" t="s">
        <v>21</v>
      </c>
      <c r="B26" s="36" t="str">
        <f>IFERROR(__xludf.DUMMYFUNCTION("GOOGLEFINANCE(A26,""name"")"),"State Street Industrial Select Sector SPDR ETF")</f>
        <v>State Street Industrial Select Sector SPDR ETF</v>
      </c>
      <c r="C26" s="45">
        <f>IFERROR(__xludf.DUMMYFUNCTION("GOOGLEFINANCE(A26,""price"")"),164.22)</f>
        <v>164.22</v>
      </c>
      <c r="D26" s="46">
        <f>IFERROR(__xludf.DUMMYFUNCTION("GOOGLEFINANCE(A26,""changepct"")"),-0.77)</f>
        <v>-0.77</v>
      </c>
      <c r="E26" s="47">
        <f>IFERROR(__xludf.DUMMYFUNCTION(" ((GOOGLEFINANCE(A26,""price"") - INDEX(GOOGLEFINANCE(A26,""price"",TODAY()-7),2,2)) / INDEX(GOOGLEFINANCE(A26,""price"",TODAY()-7),2,2))
"),0.004219409282700408)</f>
        <v>0.004219409283</v>
      </c>
      <c r="F26" s="47">
        <f>IFERROR(__xludf.DUMMYFUNCTION(" ((GOOGLEFINANCE(A26,""price"") - INDEX(GOOGLEFINANCE(A26,""price"",TODAY()-30),2,2)) / INDEX(GOOGLEFINANCE(A26,""price"",TODAY()-30),2,2))
"),0.044590038801602894)</f>
        <v>0.0445900388</v>
      </c>
      <c r="G26" s="48">
        <f>IFERROR(__xludf.DUMMYFUNCTION(" ((GOOGLEFINANCE(A26,""price"") - INDEX(GOOGLEFINANCE(A26,""price"",TODAY()-90),2,2)) / INDEX(GOOGLEFINANCE(A26,""price"",TODAY()-90),2,2))"),0.05411130367802816)</f>
        <v>0.05411130368</v>
      </c>
      <c r="H26" s="48">
        <f>IFERROR(__xludf.DUMMYFUNCTION(" ((GOOGLEFINANCE(A26,""price"") - INDEX(GOOGLEFINANCE(A26,""price"",TODAY()-182),2,2)) / INDEX(GOOGLEFINANCE(A26,""price"",TODAY()-182),2,2))"),0.06284382887838981)</f>
        <v>0.06284382888</v>
      </c>
      <c r="I26" s="20">
        <f>IFERROR(__xludf.DUMMYFUNCTION("(GOOGLEFINANCE(A26,""price"")-INDEX(GOOGLEFINANCE(A26,""price"",""01-01-""&amp;YEAR(TODAY())),2,2))/INDEX(GOOGLEFINANCE(A26,""price"",""01-01-""&amp;YEAR(TODAY())),2,2)"),0.03949867071781244)</f>
        <v>0.03949867072</v>
      </c>
      <c r="J26" s="47">
        <f>IFERROR(__xludf.DUMMYFUNCTION(" ((GOOGLEFINANCE(A26,""price"") - INDEX(GOOGLEFINANCE(A26,""price"",TODAY()-365),2,2)) / INDEX(GOOGLEFINANCE(A26,""price"",TODAY()-365),2,2))
"),0.1641029276245836)</f>
        <v>0.1641029276</v>
      </c>
      <c r="K26" s="48">
        <f>IFERROR(__xludf.DUMMYFUNCTION(" ((GOOGLEFINANCE(A26,""price"") - INDEX(GOOGLEFINANCE(A26,""price"",TODAY()-730),2,2)) / INDEX(GOOGLEFINANCE(A26,""price"",TODAY()-730),2,2))"),0.4454713493530499)</f>
        <v>0.4454713494</v>
      </c>
      <c r="L26" s="48">
        <f>IFERROR(__xludf.DUMMYFUNCTION(" ((GOOGLEFINANCE(A26,""price"") - INDEX(GOOGLEFINANCE(A26,""price"",TODAY()-1095),2,2)) / INDEX(GOOGLEFINANCE(A26,""price"",TODAY()-1095),2,2))"),0.6394129979035639)</f>
        <v>0.6394129979</v>
      </c>
      <c r="M26" s="49">
        <f>IFERROR(__xludf.DUMMYFUNCTION(" ((GOOGLEFINANCE(A26,""price"") - INDEX(GOOGLEFINANCE(A26,""price"",TODAY()-1825),2,2)) / INDEX(GOOGLEFINANCE(A26,""price"",TODAY()-1825),2,2))"),0.8680468661130702)</f>
        <v>0.8680468661</v>
      </c>
      <c r="N26" s="49">
        <f>IFERROR(__xludf.DUMMYFUNCTION(" ((GOOGLEFINANCE(A26,""price"") - INDEX(GOOGLEFINANCE(A26,""price"",TODAY()-3650),2,2)) / INDEX(GOOGLEFINANCE(A26,""price"",TODAY()-3650),2,2))"),2.3929752066115704)</f>
        <v>2.392975207</v>
      </c>
      <c r="O26" s="49">
        <f>IFERROR(__xludf.DUMMYFUNCTION(" ((GOOGLEFINANCE(A26,""price"") - INDEX(GOOGLEFINANCE(A26,""price"",TODAY()-7300),2,2)) / INDEX(GOOGLEFINANCE(A26,""price"",TODAY()-7300),2,2))"),4.1820763647838435)</f>
        <v>4.182076365</v>
      </c>
      <c r="P26" s="20"/>
    </row>
    <row r="27">
      <c r="A27" s="50" t="s">
        <v>22</v>
      </c>
      <c r="B27" s="36" t="str">
        <f>IFERROR(__xludf.DUMMYFUNCTION("GOOGLEFINANCE(A27,""name"")"),"State Street Energy Select Sector SPDR ETF")</f>
        <v>State Street Energy Select Sector SPDR ETF</v>
      </c>
      <c r="C27" s="45">
        <f>IFERROR(__xludf.DUMMYFUNCTION("GOOGLEFINANCE(A27,""price"")"),49.19)</f>
        <v>49.19</v>
      </c>
      <c r="D27" s="46">
        <f>IFERROR(__xludf.DUMMYFUNCTION("GOOGLEFINANCE(A27,""changepct"")"),0.57)</f>
        <v>0.57</v>
      </c>
      <c r="E27" s="47">
        <f>IFERROR(__xludf.DUMMYFUNCTION(" ((GOOGLEFINANCE(A27,""price"") - INDEX(GOOGLEFINANCE(A27,""price"",TODAY()-7),2,2)) / INDEX(GOOGLEFINANCE(A27,""price"",TODAY()-7),2,2))
"),0.03340336134453774)</f>
        <v>0.03340336134</v>
      </c>
      <c r="F27" s="47">
        <f>IFERROR(__xludf.DUMMYFUNCTION(" ((GOOGLEFINANCE(A27,""price"") - INDEX(GOOGLEFINANCE(A27,""price"",TODAY()-30),2,2)) / INDEX(GOOGLEFINANCE(A27,""price"",TODAY()-30),2,2))
"),0.11289592760180983)</f>
        <v>0.1128959276</v>
      </c>
      <c r="G27" s="48">
        <f>IFERROR(__xludf.DUMMYFUNCTION(" ((GOOGLEFINANCE(A27,""price"") - INDEX(GOOGLEFINANCE(A27,""price"",TODAY()-90),2,2)) / INDEX(GOOGLEFINANCE(A27,""price"",TODAY()-90),2,2))"),0.11440869959220655)</f>
        <v>0.1144086996</v>
      </c>
      <c r="H27" s="48">
        <f>IFERROR(__xludf.DUMMYFUNCTION(" ((GOOGLEFINANCE(A27,""price"") - INDEX(GOOGLEFINANCE(A27,""price"",TODAY()-182),2,2)) / INDEX(GOOGLEFINANCE(A27,""price"",TODAY()-182),2,2))"),0.11668558456299662)</f>
        <v>0.1166855846</v>
      </c>
      <c r="I27" s="20">
        <f>IFERROR(__xludf.DUMMYFUNCTION("(GOOGLEFINANCE(A27,""price"")-INDEX(GOOGLEFINANCE(A27,""price"",""01-01-""&amp;YEAR(TODAY())),2,2))/INDEX(GOOGLEFINANCE(A27,""price"",""01-01-""&amp;YEAR(TODAY())),2,2)"),0.07754654983570644)</f>
        <v>0.07754654984</v>
      </c>
      <c r="J27" s="47">
        <f>IFERROR(__xludf.DUMMYFUNCTION(" ((GOOGLEFINANCE(A27,""price"") - INDEX(GOOGLEFINANCE(A27,""price"",TODAY()-365),2,2)) / INDEX(GOOGLEFINANCE(A27,""price"",TODAY()-365),2,2))
"),0.07731055628558917)</f>
        <v>0.07731055629</v>
      </c>
      <c r="K27" s="48">
        <f>IFERROR(__xludf.DUMMYFUNCTION(" ((GOOGLEFINANCE(A27,""price"") - INDEX(GOOGLEFINANCE(A27,""price"",TODAY()-730),2,2)) / INDEX(GOOGLEFINANCE(A27,""price"",TODAY()-730),2,2))"),0.17623146819703486)</f>
        <v>0.1762314682</v>
      </c>
      <c r="L27" s="48">
        <f>IFERROR(__xludf.DUMMYFUNCTION(" ((GOOGLEFINANCE(A27,""price"") - INDEX(GOOGLEFINANCE(A27,""price"",TODAY()-1095),2,2)) / INDEX(GOOGLEFINANCE(A27,""price"",TODAY()-1095),2,2))"),0.08996233104365156)</f>
        <v>0.08996233104</v>
      </c>
      <c r="M27" s="49">
        <f>IFERROR(__xludf.DUMMYFUNCTION(" ((GOOGLEFINANCE(A27,""price"") - INDEX(GOOGLEFINANCE(A27,""price"",TODAY()-1825),2,2)) / INDEX(GOOGLEFINANCE(A27,""price"",TODAY()-1825),2,2))"),1.3626320845341018)</f>
        <v>1.362632085</v>
      </c>
      <c r="N27" s="49">
        <f>IFERROR(__xludf.DUMMYFUNCTION(" ((GOOGLEFINANCE(A27,""price"") - INDEX(GOOGLEFINANCE(A27,""price"",TODAY()-3650),2,2)) / INDEX(GOOGLEFINANCE(A27,""price"",TODAY()-3650),2,2))"),0.7919854280510018)</f>
        <v>0.7919854281</v>
      </c>
      <c r="O27" s="49">
        <f>IFERROR(__xludf.DUMMYFUNCTION(" ((GOOGLEFINANCE(A27,""price"") - INDEX(GOOGLEFINANCE(A27,""price"",TODAY()-7300),2,2)) / INDEX(GOOGLEFINANCE(A27,""price"",TODAY()-7300),2,2))"),0.6973775017253278)</f>
        <v>0.6973775017</v>
      </c>
      <c r="P27" s="20"/>
    </row>
    <row r="28">
      <c r="A28" s="44" t="s">
        <v>23</v>
      </c>
      <c r="B28" s="36" t="str">
        <f>IFERROR(__xludf.DUMMYFUNCTION("GOOGLEFINANCE(A28,""name"")"),"State Street Materials Select Sector SPDR ETF")</f>
        <v>State Street Materials Select Sector SPDR ETF</v>
      </c>
      <c r="C28" s="45">
        <f>IFERROR(__xludf.DUMMYFUNCTION("GOOGLEFINANCE(A28,""price"")"),49.97)</f>
        <v>49.97</v>
      </c>
      <c r="D28" s="46">
        <f>IFERROR(__xludf.DUMMYFUNCTION("GOOGLEFINANCE(A28,""changepct"")"),0.91)</f>
        <v>0.91</v>
      </c>
      <c r="E28" s="47">
        <f>IFERROR(__xludf.DUMMYFUNCTION(" ((GOOGLEFINANCE(A28,""price"") - INDEX(GOOGLEFINANCE(A28,""price"",TODAY()-7),2,2)) / INDEX(GOOGLEFINANCE(A28,""price"",TODAY()-7),2,2))
"),0.03693712388462339)</f>
        <v>0.03693712388</v>
      </c>
      <c r="F28" s="47">
        <f>IFERROR(__xludf.DUMMYFUNCTION(" ((GOOGLEFINANCE(A28,""price"") - INDEX(GOOGLEFINANCE(A28,""price"",TODAY()-30),2,2)) / INDEX(GOOGLEFINANCE(A28,""price"",TODAY()-30),2,2))
"),0.08371286055085664)</f>
        <v>0.08371286055</v>
      </c>
      <c r="G28" s="48">
        <f>IFERROR(__xludf.DUMMYFUNCTION(" ((GOOGLEFINANCE(A28,""price"") - INDEX(GOOGLEFINANCE(A28,""price"",TODAY()-90),2,2)) / INDEX(GOOGLEFINANCE(A28,""price"",TODAY()-90),2,2))"),0.12317374690941778)</f>
        <v>0.1231737469</v>
      </c>
      <c r="H28" s="48">
        <f>IFERROR(__xludf.DUMMYFUNCTION(" ((GOOGLEFINANCE(A28,""price"") - INDEX(GOOGLEFINANCE(A28,""price"",TODAY()-182),2,2)) / INDEX(GOOGLEFINANCE(A28,""price"",TODAY()-182),2,2))"),0.09775922671353242)</f>
        <v>0.09775922671</v>
      </c>
      <c r="I28" s="20">
        <f>IFERROR(__xludf.DUMMYFUNCTION("(GOOGLEFINANCE(A28,""price"")-INDEX(GOOGLEFINANCE(A28,""price"",""01-01-""&amp;YEAR(TODAY())),2,2))/INDEX(GOOGLEFINANCE(A28,""price"",""01-01-""&amp;YEAR(TODAY())),2,2)"),0.08347788378143976)</f>
        <v>0.08347788378</v>
      </c>
      <c r="J28" s="47">
        <f>IFERROR(__xludf.DUMMYFUNCTION(" ((GOOGLEFINANCE(A28,""price"") - INDEX(GOOGLEFINANCE(A28,""price"",TODAY()-365),2,2)) / INDEX(GOOGLEFINANCE(A28,""price"",TODAY()-365),2,2))
"),0.12292134831460672)</f>
        <v>0.1229213483</v>
      </c>
      <c r="K28" s="48">
        <f>IFERROR(__xludf.DUMMYFUNCTION(" ((GOOGLEFINANCE(A28,""price"") - INDEX(GOOGLEFINANCE(A28,""price"",TODAY()-730),2,2)) / INDEX(GOOGLEFINANCE(A28,""price"",TODAY()-730),2,2))"),0.21168768186226955)</f>
        <v>0.2116876819</v>
      </c>
      <c r="L28" s="48">
        <f>IFERROR(__xludf.DUMMYFUNCTION(" ((GOOGLEFINANCE(A28,""price"") - INDEX(GOOGLEFINANCE(A28,""price"",TODAY()-1095),2,2)) / INDEX(GOOGLEFINANCE(A28,""price"",TODAY()-1095),2,2))"),0.20004803073967334)</f>
        <v>0.2000480307</v>
      </c>
      <c r="M28" s="48">
        <f>IFERROR(__xludf.DUMMYFUNCTION(" ((GOOGLEFINANCE(A28,""price"") - INDEX(GOOGLEFINANCE(A28,""price"",TODAY()-1825),2,2)) / INDEX(GOOGLEFINANCE(A28,""price"",TODAY()-1825),2,2))"),0.35090565017572306)</f>
        <v>0.3509056502</v>
      </c>
      <c r="N28" s="49">
        <f>IFERROR(__xludf.DUMMYFUNCTION(" ((GOOGLEFINANCE(A28,""price"") - INDEX(GOOGLEFINANCE(A28,""price"",TODAY()-3650),2,2)) / INDEX(GOOGLEFINANCE(A28,""price"",TODAY()-3650),2,2))"),1.6565656565656568)</f>
        <v>1.656565657</v>
      </c>
      <c r="O28" s="49">
        <f>IFERROR(__xludf.DUMMYFUNCTION(" ((GOOGLEFINANCE(A28,""price"") - INDEX(GOOGLEFINANCE(A28,""price"",TODAY()-7300),2,2)) / INDEX(GOOGLEFINANCE(A28,""price"",TODAY()-7300),2,2))"),2.1526813880126183)</f>
        <v>2.152681388</v>
      </c>
      <c r="P28" s="20"/>
    </row>
    <row r="29">
      <c r="A29" s="50" t="s">
        <v>24</v>
      </c>
      <c r="B29" s="36" t="str">
        <f>IFERROR(__xludf.DUMMYFUNCTION("GOOGLEFINANCE(A29,""name"")"),"State Street Utilities Select Sector SPDR ETF")</f>
        <v>State Street Utilities Select Sector SPDR ETF</v>
      </c>
      <c r="C29" s="45">
        <f>IFERROR(__xludf.DUMMYFUNCTION("GOOGLEFINANCE(A29,""price"")"),42.56)</f>
        <v>42.56</v>
      </c>
      <c r="D29" s="46">
        <f>IFERROR(__xludf.DUMMYFUNCTION("GOOGLEFINANCE(A29,""changepct"")"),-0.35)</f>
        <v>-0.35</v>
      </c>
      <c r="E29" s="47">
        <f>IFERROR(__xludf.DUMMYFUNCTION(" ((GOOGLEFINANCE(A29,""price"") - INDEX(GOOGLEFINANCE(A29,""price"",TODAY()-7),2,2)) / INDEX(GOOGLEFINANCE(A29,""price"",TODAY()-7),2,2))
"),-0.009310986964618215)</f>
        <v>-0.009310986965</v>
      </c>
      <c r="F29" s="47">
        <f>IFERROR(__xludf.DUMMYFUNCTION(" ((GOOGLEFINANCE(A29,""price"") - INDEX(GOOGLEFINANCE(A29,""price"",TODAY()-30),2,2)) / INDEX(GOOGLEFINANCE(A29,""price"",TODAY()-30),2,2))
"),-0.0051425899953248914)</f>
        <v>-0.005142589995</v>
      </c>
      <c r="G29" s="48">
        <f>IFERROR(__xludf.DUMMYFUNCTION(" ((GOOGLEFINANCE(A29,""price"") - INDEX(GOOGLEFINANCE(A29,""price"",TODAY()-90),2,2)) / INDEX(GOOGLEFINANCE(A29,""price"",TODAY()-90),2,2))"),-0.0711479703186381)</f>
        <v>-0.07114797032</v>
      </c>
      <c r="H29" s="48">
        <f>IFERROR(__xludf.DUMMYFUNCTION(" ((GOOGLEFINANCE(A29,""price"") - INDEX(GOOGLEFINANCE(A29,""price"",TODAY()-182),2,2)) / INDEX(GOOGLEFINANCE(A29,""price"",TODAY()-182),2,2))"),0.01793829227457546)</f>
        <v>0.01793829227</v>
      </c>
      <c r="I29" s="49">
        <f>IFERROR(__xludf.DUMMYFUNCTION("(GOOGLEFINANCE(A29,""price"")-INDEX(GOOGLEFINANCE(A29,""price"",""01-01-""&amp;YEAR(TODAY())),2,2))/INDEX(GOOGLEFINANCE(A29,""price"",""01-01-""&amp;YEAR(TODAY())),2,2)"),-0.014358499305233845)</f>
        <v>-0.01435849931</v>
      </c>
      <c r="J29" s="47">
        <f>IFERROR(__xludf.DUMMYFUNCTION(" ((GOOGLEFINANCE(A29,""price"") - INDEX(GOOGLEFINANCE(A29,""price"",TODAY()-365),2,2)) / INDEX(GOOGLEFINANCE(A29,""price"",TODAY()-365),2,2))
"),0.07096124811273277)</f>
        <v>0.07096124811</v>
      </c>
      <c r="K29" s="48">
        <f>IFERROR(__xludf.DUMMYFUNCTION(" ((GOOGLEFINANCE(A29,""price"") - INDEX(GOOGLEFINANCE(A29,""price"",TODAY()-730),2,2)) / INDEX(GOOGLEFINANCE(A29,""price"",TODAY()-730),2,2))"),0.3944954128440368)</f>
        <v>0.3944954128</v>
      </c>
      <c r="L29" s="48">
        <f>IFERROR(__xludf.DUMMYFUNCTION(" ((GOOGLEFINANCE(A29,""price"") - INDEX(GOOGLEFINANCE(A29,""price"",TODAY()-1095),2,2)) / INDEX(GOOGLEFINANCE(A29,""price"",TODAY()-1095),2,2))"),0.23973201281677844)</f>
        <v>0.2397320128</v>
      </c>
      <c r="M29" s="48">
        <f>IFERROR(__xludf.DUMMYFUNCTION(" ((GOOGLEFINANCE(A29,""price"") - INDEX(GOOGLEFINANCE(A29,""price"",TODAY()-1825),2,2)) / INDEX(GOOGLEFINANCE(A29,""price"",TODAY()-1825),2,2))"),0.32792511700468036)</f>
        <v>0.327925117</v>
      </c>
      <c r="N29" s="49">
        <f>IFERROR(__xludf.DUMMYFUNCTION(" ((GOOGLEFINANCE(A29,""price"") - INDEX(GOOGLEFINANCE(A29,""price"",TODAY()-3650),2,2)) / INDEX(GOOGLEFINANCE(A29,""price"",TODAY()-3650),2,2))"),0.9416058394160584)</f>
        <v>0.9416058394</v>
      </c>
      <c r="O29" s="49">
        <f>IFERROR(__xludf.DUMMYFUNCTION(" ((GOOGLEFINANCE(A29,""price"") - INDEX(GOOGLEFINANCE(A29,""price"",TODAY()-7300),2,2)) / INDEX(GOOGLEFINANCE(A29,""price"",TODAY()-7300),2,2))"),1.6451211932877565)</f>
        <v>1.645121193</v>
      </c>
      <c r="P29" s="20"/>
    </row>
    <row r="30">
      <c r="A30" s="44" t="s">
        <v>25</v>
      </c>
      <c r="B30" s="36" t="str">
        <f>IFERROR(__xludf.DUMMYFUNCTION("GOOGLEFINANCE(A30,""name"")"),"State Street Real Estate Select Sector SPDR ETF")</f>
        <v>State Street Real Estate Select Sector SPDR ETF</v>
      </c>
      <c r="C30" s="45">
        <f>IFERROR(__xludf.DUMMYFUNCTION("GOOGLEFINANCE(A30,""price"")"),41.25)</f>
        <v>41.25</v>
      </c>
      <c r="D30" s="46">
        <f>IFERROR(__xludf.DUMMYFUNCTION("GOOGLEFINANCE(A30,""changepct"")"),0.27)</f>
        <v>0.27</v>
      </c>
      <c r="E30" s="47">
        <f>IFERROR(__xludf.DUMMYFUNCTION(" ((GOOGLEFINANCE(A30,""price"") - INDEX(GOOGLEFINANCE(A30,""price"",TODAY()-7),2,2)) / INDEX(GOOGLEFINANCE(A30,""price"",TODAY()-7),2,2))
"),-0.0036231884057970672)</f>
        <v>-0.003623188406</v>
      </c>
      <c r="F30" s="47">
        <f>IFERROR(__xludf.DUMMYFUNCTION(" ((GOOGLEFINANCE(A30,""price"") - INDEX(GOOGLEFINANCE(A30,""price"",TODAY()-30),2,2)) / INDEX(GOOGLEFINANCE(A30,""price"",TODAY()-30),2,2))
"),0.018015794669299035)</f>
        <v>0.01801579467</v>
      </c>
      <c r="G30" s="48">
        <f>IFERROR(__xludf.DUMMYFUNCTION(" ((GOOGLEFINANCE(A30,""price"") - INDEX(GOOGLEFINANCE(A30,""price"",TODAY()-90),2,2)) / INDEX(GOOGLEFINANCE(A30,""price"",TODAY()-90),2,2))"),-0.034861956013102526)</f>
        <v>-0.03486195601</v>
      </c>
      <c r="H30" s="48">
        <f>IFERROR(__xludf.DUMMYFUNCTION(" ((GOOGLEFINANCE(A30,""price"") - INDEX(GOOGLEFINANCE(A30,""price"",TODAY()-182),2,2)) / INDEX(GOOGLEFINANCE(A30,""price"",TODAY()-182),2,2))"),-0.01902497027348388)</f>
        <v>-0.01902497027</v>
      </c>
      <c r="I30" s="20">
        <f>IFERROR(__xludf.DUMMYFUNCTION("(GOOGLEFINANCE(A30,""price"")-INDEX(GOOGLEFINANCE(A30,""price"",""01-01-""&amp;YEAR(TODAY())),2,2))/INDEX(GOOGLEFINANCE(A30,""price"",""01-01-""&amp;YEAR(TODAY())),2,2)"),0.021545319465081657)</f>
        <v>0.02154531947</v>
      </c>
      <c r="J30" s="47">
        <f>IFERROR(__xludf.DUMMYFUNCTION(" ((GOOGLEFINANCE(A30,""price"") - INDEX(GOOGLEFINANCE(A30,""price"",TODAY()-365),2,2)) / INDEX(GOOGLEFINANCE(A30,""price"",TODAY()-365),2,2))
"),-0.007220216606498127)</f>
        <v>-0.007220216606</v>
      </c>
      <c r="K30" s="48">
        <f>IFERROR(__xludf.DUMMYFUNCTION(" ((GOOGLEFINANCE(A30,""price"") - INDEX(GOOGLEFINANCE(A30,""price"",TODAY()-730),2,2)) / INDEX(GOOGLEFINANCE(A30,""price"",TODAY()-730),2,2))"),0.06699430936368349)</f>
        <v>0.06699430936</v>
      </c>
      <c r="L30" s="48">
        <f>IFERROR(__xludf.DUMMYFUNCTION(" ((GOOGLEFINANCE(A30,""price"") - INDEX(GOOGLEFINANCE(A30,""price"",TODAY()-1095),2,2)) / INDEX(GOOGLEFINANCE(A30,""price"",TODAY()-1095),2,2))"),0.04324734446130503)</f>
        <v>0.04324734446</v>
      </c>
      <c r="M30" s="48">
        <f>IFERROR(__xludf.DUMMYFUNCTION(" ((GOOGLEFINANCE(A30,""price"") - INDEX(GOOGLEFINANCE(A30,""price"",TODAY()-1825),2,2)) / INDEX(GOOGLEFINANCE(A30,""price"",TODAY()-1825),2,2))"),0.11036339165545092)</f>
        <v>0.1103633917</v>
      </c>
      <c r="N30" s="49"/>
      <c r="O30" s="49"/>
      <c r="P30" s="20"/>
    </row>
    <row r="31">
      <c r="A31" s="51" t="s">
        <v>26</v>
      </c>
      <c r="B31" s="52" t="str">
        <f>IFERROR(__xludf.DUMMYFUNCTION("GOOGLEFINANCE(A31,""name"")"),"SPDR S&amp;P 500 ETF Trust")</f>
        <v>SPDR S&amp;P 500 ETF Trust</v>
      </c>
      <c r="C31" s="53">
        <f>IFERROR(__xludf.DUMMYFUNCTION("GOOGLEFINANCE(A31,""price"")"),689.23)</f>
        <v>689.23</v>
      </c>
      <c r="D31" s="46">
        <f>IFERROR(__xludf.DUMMYFUNCTION("GOOGLEFINANCE(A31,""changepct"")"),0.04)</f>
        <v>0.04</v>
      </c>
      <c r="E31" s="54">
        <f>IFERROR(__xludf.DUMMYFUNCTION(" ((GOOGLEFINANCE(A31,""price"") - INDEX(GOOGLEFINANCE(A31,""price"",TODAY()-7),2,2)) / INDEX(GOOGLEFINANCE(A31,""price"",TODAY()-7),2,2))
"),0.01719354172201065)</f>
        <v>0.01719354172</v>
      </c>
      <c r="F31" s="54">
        <f>IFERROR(__xludf.DUMMYFUNCTION(" ((GOOGLEFINANCE(A31,""price"") - INDEX(GOOGLEFINANCE(A31,""price"",TODAY()-30),2,2)) / INDEX(GOOGLEFINANCE(A31,""price"",TODAY()-30),2,2))
"),-0.0015645144934883274)</f>
        <v>-0.001564514493</v>
      </c>
      <c r="G31" s="54">
        <f>IFERROR(__xludf.DUMMYFUNCTION(" ((GOOGLEFINANCE(A31,""price"") - INDEX(GOOGLEFINANCE(A31,""price"",TODAY()-90),2,2)) / INDEX(GOOGLEFINANCE(A31,""price"",TODAY()-90),2,2))"),0.005822777421049572)</f>
        <v>0.005822777421</v>
      </c>
      <c r="H31" s="54">
        <f>IFERROR(__xludf.DUMMYFUNCTION(" ((GOOGLEFINANCE(A31,""price"") - INDEX(GOOGLEFINANCE(A31,""price"",TODAY()-182),2,2)) / INDEX(GOOGLEFINANCE(A31,""price"",TODAY()-182),2,2))"),0.0820956448017081)</f>
        <v>0.0820956448</v>
      </c>
      <c r="I31" s="55">
        <f>IFERROR(__xludf.DUMMYFUNCTION("(GOOGLEFINANCE(A31,""price"")-INDEX(GOOGLEFINANCE(A31,""price"",""01-01-""&amp;YEAR(TODAY())),2,2))/INDEX(GOOGLEFINANCE(A31,""price"",""01-01-""&amp;YEAR(TODAY())),2,2)"),0.008870412927968236)</f>
        <v>0.008870412928</v>
      </c>
      <c r="J31" s="54">
        <f>IFERROR(__xludf.DUMMYFUNCTION(" ((GOOGLEFINANCE(A31,""price"") - INDEX(GOOGLEFINANCE(A31,""price"",TODAY()-365),2,2)) / INDEX(GOOGLEFINANCE(A31,""price"",TODAY()-365),2,2))
"),0.13365791075217526)</f>
        <v>0.1336579108</v>
      </c>
      <c r="K31" s="54">
        <f>IFERROR(__xludf.DUMMYFUNCTION(" ((GOOGLEFINANCE(A31,""price"") - INDEX(GOOGLEFINANCE(A31,""price"",TODAY()-730),2,2)) / INDEX(GOOGLEFINANCE(A31,""price"",TODAY()-730),2,2))"),0.41226973751613644)</f>
        <v>0.4122697375</v>
      </c>
      <c r="L31" s="54">
        <f>IFERROR(__xludf.DUMMYFUNCTION(" ((GOOGLEFINANCE(A31,""price"") - INDEX(GOOGLEFINANCE(A31,""price"",TODAY()-1095),2,2)) / INDEX(GOOGLEFINANCE(A31,""price"",TODAY()-1095),2,2))"),0.7215686274509804)</f>
        <v>0.7215686275</v>
      </c>
      <c r="M31" s="54">
        <f>IFERROR(__xludf.DUMMYFUNCTION(" ((GOOGLEFINANCE(A31,""price"") - INDEX(GOOGLEFINANCE(A31,""price"",TODAY()-1825),2,2)) / INDEX(GOOGLEFINANCE(A31,""price"",TODAY()-1825),2,2))"),0.7930487265537606)</f>
        <v>0.7930487266</v>
      </c>
      <c r="N31" s="56">
        <f>IFERROR(__xludf.DUMMYFUNCTION(" ((GOOGLEFINANCE(A31,""price"") - INDEX(GOOGLEFINANCE(A31,""price"",TODAY()-3650),2,2)) / INDEX(GOOGLEFINANCE(A31,""price"",TODAY()-3650),2,2))"),2.663583692127784)</f>
        <v>2.663583692</v>
      </c>
      <c r="O31" s="20">
        <f>IFERROR(__xludf.DUMMYFUNCTION(" ((GOOGLEFINANCE(A31,""price"") - INDEX(GOOGLEFINANCE(A31,""price"",TODAY()-7300),2,2)) / INDEX(GOOGLEFINANCE(A31,""price"",TODAY()-7300),2,2))"),4.366163189037683)</f>
        <v>4.366163189</v>
      </c>
      <c r="P31" s="20"/>
      <c r="W31" s="57"/>
      <c r="X31" s="57"/>
      <c r="Y31" s="57"/>
      <c r="Z31" s="57"/>
      <c r="AA31" s="57"/>
      <c r="AB31" s="57"/>
      <c r="AC31" s="57"/>
    </row>
    <row r="51">
      <c r="A51" s="58" t="s">
        <v>42</v>
      </c>
      <c r="B51" s="59"/>
      <c r="C51" s="59"/>
      <c r="D51" s="59"/>
      <c r="E51" s="59"/>
      <c r="F51" s="60"/>
    </row>
    <row r="52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/>
    </row>
    <row r="53">
      <c r="A53" s="64" t="s">
        <v>43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6"/>
      <c r="M53" s="65"/>
      <c r="N53" s="65"/>
      <c r="O53" s="67"/>
      <c r="P53" s="67"/>
      <c r="Q53" s="67"/>
      <c r="R53" s="67"/>
      <c r="S53" s="67"/>
      <c r="T53" s="67"/>
      <c r="U53" s="68"/>
      <c r="V53" s="68"/>
      <c r="W53" s="68"/>
      <c r="X53" s="68"/>
      <c r="Y53" s="68"/>
      <c r="Z53" s="68"/>
      <c r="AA53" s="68"/>
      <c r="AB53" s="68"/>
      <c r="AC53" s="68"/>
    </row>
    <row r="54">
      <c r="A54" s="69"/>
      <c r="B54" s="70"/>
      <c r="C54" s="70"/>
      <c r="D54" s="71"/>
      <c r="E54" s="71"/>
      <c r="F54" s="71"/>
      <c r="G54" s="71"/>
      <c r="H54" s="71"/>
      <c r="I54" s="71"/>
      <c r="J54" s="71"/>
      <c r="K54" s="71"/>
      <c r="L54" s="72"/>
      <c r="M54" s="71"/>
      <c r="N54" s="71"/>
      <c r="O54" s="73"/>
      <c r="P54" s="73"/>
      <c r="Q54" s="73"/>
      <c r="R54" s="73"/>
      <c r="S54" s="73"/>
      <c r="T54" s="73"/>
    </row>
    <row r="55">
      <c r="A55" s="74" t="s">
        <v>44</v>
      </c>
      <c r="B55" s="75"/>
      <c r="C55" s="75"/>
      <c r="D55" s="71"/>
      <c r="E55" s="71"/>
      <c r="F55" s="71"/>
      <c r="G55" s="71"/>
      <c r="H55" s="71"/>
      <c r="I55" s="71"/>
      <c r="J55" s="71"/>
      <c r="K55" s="71"/>
      <c r="L55" s="72"/>
      <c r="M55" s="71"/>
      <c r="N55" s="71"/>
      <c r="O55" s="73"/>
      <c r="P55" s="73"/>
      <c r="Q55" s="73"/>
      <c r="R55" s="73"/>
      <c r="S55" s="73"/>
      <c r="T55" s="73"/>
    </row>
    <row r="56">
      <c r="A56" s="74" t="s">
        <v>45</v>
      </c>
      <c r="B56" s="75"/>
      <c r="C56" s="75"/>
      <c r="D56" s="71"/>
      <c r="E56" s="71"/>
      <c r="F56" s="71"/>
      <c r="G56" s="71"/>
      <c r="H56" s="71"/>
      <c r="I56" s="71"/>
      <c r="J56" s="71"/>
      <c r="K56" s="71"/>
      <c r="L56" s="72"/>
      <c r="M56" s="71"/>
      <c r="N56" s="71"/>
      <c r="O56" s="73"/>
      <c r="P56" s="73"/>
      <c r="Q56" s="73"/>
      <c r="R56" s="73"/>
      <c r="S56" s="73"/>
      <c r="T56" s="73"/>
    </row>
    <row r="57">
      <c r="A57" s="74" t="s">
        <v>46</v>
      </c>
      <c r="B57" s="75"/>
      <c r="C57" s="75"/>
      <c r="D57" s="71"/>
      <c r="E57" s="71"/>
      <c r="F57" s="71"/>
      <c r="G57" s="71"/>
      <c r="H57" s="71"/>
      <c r="I57" s="71"/>
      <c r="J57" s="71"/>
      <c r="K57" s="71"/>
      <c r="L57" s="72"/>
      <c r="M57" s="71"/>
      <c r="N57" s="71"/>
      <c r="O57" s="73"/>
      <c r="P57" s="73"/>
      <c r="Q57" s="73"/>
      <c r="R57" s="73"/>
      <c r="S57" s="73"/>
      <c r="T57" s="73"/>
    </row>
    <row r="58">
      <c r="A58" s="74" t="s">
        <v>47</v>
      </c>
      <c r="B58" s="75"/>
      <c r="C58" s="75"/>
      <c r="D58" s="71"/>
      <c r="E58" s="71"/>
      <c r="F58" s="71"/>
      <c r="G58" s="71"/>
      <c r="H58" s="71"/>
      <c r="I58" s="71"/>
      <c r="J58" s="71"/>
      <c r="K58" s="71"/>
      <c r="L58" s="72"/>
      <c r="M58" s="71"/>
      <c r="N58" s="71"/>
      <c r="O58" s="73"/>
      <c r="P58" s="73"/>
      <c r="Q58" s="73"/>
      <c r="R58" s="73"/>
      <c r="S58" s="73"/>
      <c r="T58" s="73"/>
    </row>
    <row r="59">
      <c r="A59" s="74" t="s">
        <v>48</v>
      </c>
      <c r="B59" s="75"/>
      <c r="C59" s="75"/>
      <c r="D59" s="71"/>
      <c r="E59" s="71"/>
      <c r="F59" s="71"/>
      <c r="G59" s="71"/>
      <c r="H59" s="71"/>
      <c r="I59" s="71"/>
      <c r="J59" s="71"/>
      <c r="K59" s="71"/>
      <c r="L59" s="72"/>
      <c r="M59" s="71"/>
      <c r="N59" s="71"/>
      <c r="O59" s="73"/>
      <c r="P59" s="73"/>
      <c r="Q59" s="73"/>
      <c r="R59" s="73"/>
      <c r="S59" s="73"/>
      <c r="T59" s="73"/>
    </row>
    <row r="60">
      <c r="A60" s="74" t="s">
        <v>49</v>
      </c>
      <c r="B60" s="75"/>
      <c r="C60" s="75"/>
      <c r="D60" s="71"/>
      <c r="E60" s="71"/>
      <c r="F60" s="71"/>
      <c r="G60" s="71"/>
      <c r="H60" s="71"/>
      <c r="I60" s="71"/>
      <c r="J60" s="71"/>
      <c r="K60" s="71"/>
      <c r="L60" s="72"/>
      <c r="M60" s="71"/>
      <c r="N60" s="71"/>
      <c r="O60" s="73"/>
      <c r="P60" s="73"/>
      <c r="Q60" s="73"/>
      <c r="R60" s="73"/>
      <c r="S60" s="73"/>
      <c r="T60" s="73"/>
    </row>
    <row r="61">
      <c r="A61" s="76" t="s">
        <v>50</v>
      </c>
      <c r="B61" s="71"/>
      <c r="C61" s="71"/>
      <c r="D61" s="71"/>
      <c r="E61" s="75"/>
      <c r="F61" s="71"/>
      <c r="G61" s="71"/>
      <c r="H61" s="71"/>
      <c r="I61" s="71"/>
      <c r="J61" s="71"/>
      <c r="K61" s="71"/>
      <c r="L61" s="72"/>
    </row>
    <row r="62">
      <c r="A62" s="74" t="s">
        <v>51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2"/>
    </row>
    <row r="63">
      <c r="A63" s="74" t="s">
        <v>52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2"/>
    </row>
    <row r="64">
      <c r="A64" s="77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9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7">
      <c r="A67" s="80" t="s">
        <v>53</v>
      </c>
      <c r="B67" s="81"/>
      <c r="C67" s="81" t="s">
        <v>54</v>
      </c>
      <c r="D67" s="81"/>
      <c r="E67" s="81"/>
      <c r="F67" s="81"/>
      <c r="G67" s="81"/>
      <c r="H67" s="82" t="s">
        <v>55</v>
      </c>
      <c r="I67" s="83" t="s">
        <v>56</v>
      </c>
      <c r="J67" s="84" t="s">
        <v>57</v>
      </c>
    </row>
    <row r="68">
      <c r="A68" s="85" t="s">
        <v>58</v>
      </c>
      <c r="B68" s="86">
        <v>21.0</v>
      </c>
      <c r="C68" s="86">
        <v>49.6</v>
      </c>
      <c r="D68" s="87">
        <f t="shared" ref="D68:D70" si="12">B68*C68</f>
        <v>1041.6</v>
      </c>
      <c r="E68" s="87">
        <f>IFERROR(__xludf.DUMMYFUNCTION("GOOGLEFINANCE(A68,""price"")"),49.97)</f>
        <v>49.97</v>
      </c>
      <c r="F68" s="87">
        <f t="shared" ref="F68:F70" si="13">B68*E68</f>
        <v>1049.37</v>
      </c>
      <c r="G68" s="87">
        <f t="shared" ref="G68:G70" si="14">F68-D68</f>
        <v>7.77</v>
      </c>
      <c r="H68" s="88">
        <f t="shared" ref="H68:H70" si="15">G68/D68</f>
        <v>0.007459677419</v>
      </c>
      <c r="I68" s="89">
        <f>IFERROR(__xludf.DUMMYFUNCTION("GOOGLEFINANCE(A68,""changepct"")/100"),0.0091)</f>
        <v>0.0091</v>
      </c>
      <c r="J68" s="84">
        <f>Q12</f>
        <v>2</v>
      </c>
    </row>
    <row r="69">
      <c r="A69" s="90" t="s">
        <v>19</v>
      </c>
      <c r="B69" s="87">
        <v>6.0</v>
      </c>
      <c r="C69" s="86">
        <v>158.91</v>
      </c>
      <c r="D69" s="87">
        <f t="shared" si="12"/>
        <v>953.46</v>
      </c>
      <c r="E69" s="87">
        <f>IFERROR(__xludf.DUMMYFUNCTION("GOOGLEFINANCE(A69,""price"")"),157.48)</f>
        <v>157.48</v>
      </c>
      <c r="F69" s="87">
        <f t="shared" si="13"/>
        <v>944.88</v>
      </c>
      <c r="G69" s="87">
        <f t="shared" si="14"/>
        <v>-8.58</v>
      </c>
      <c r="H69" s="88">
        <f t="shared" si="15"/>
        <v>-0.008998804355</v>
      </c>
      <c r="I69" s="89">
        <f>IFERROR(__xludf.DUMMYFUNCTION("GOOGLEFINANCE(A69,""changepct"")/100"),-0.0051)</f>
        <v>-0.0051</v>
      </c>
      <c r="J69" s="84">
        <f>Q8</f>
        <v>3</v>
      </c>
    </row>
    <row r="70">
      <c r="A70" s="85" t="s">
        <v>22</v>
      </c>
      <c r="B70" s="86">
        <v>19.0</v>
      </c>
      <c r="C70" s="86">
        <v>48.67</v>
      </c>
      <c r="D70" s="87">
        <f t="shared" si="12"/>
        <v>924.73</v>
      </c>
      <c r="E70" s="87">
        <f>IFERROR(__xludf.DUMMYFUNCTION("GOOGLEFINANCE(A70,""price"")"),49.19)</f>
        <v>49.19</v>
      </c>
      <c r="F70" s="87">
        <f t="shared" si="13"/>
        <v>934.61</v>
      </c>
      <c r="G70" s="87">
        <f t="shared" si="14"/>
        <v>9.88</v>
      </c>
      <c r="H70" s="88">
        <f t="shared" si="15"/>
        <v>0.01068419971</v>
      </c>
      <c r="I70" s="89">
        <f>IFERROR(__xludf.DUMMYFUNCTION("GOOGLEFINANCE(A70,""changepct"")/100"),0.005699999999999999)</f>
        <v>0.0057</v>
      </c>
      <c r="J70" s="84">
        <f>Q11</f>
        <v>1</v>
      </c>
      <c r="K70" s="9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92"/>
      <c r="K71" s="93"/>
    </row>
    <row r="72">
      <c r="A72" s="81"/>
      <c r="B72" s="81"/>
      <c r="C72" s="81"/>
      <c r="D72" s="81"/>
      <c r="E72" s="81"/>
      <c r="F72" s="81"/>
      <c r="G72" s="87">
        <f>SUM(G68:G70)</f>
        <v>9.07</v>
      </c>
      <c r="H72" s="81"/>
      <c r="I72" s="81"/>
      <c r="J72" s="94"/>
      <c r="K72" s="93"/>
    </row>
    <row r="73">
      <c r="A73" s="84"/>
      <c r="B73" s="95"/>
      <c r="C73" s="95"/>
      <c r="D73" s="20"/>
    </row>
    <row r="74">
      <c r="A74" s="84"/>
      <c r="B74" s="95"/>
      <c r="C74" s="95"/>
      <c r="D74" s="20"/>
    </row>
    <row r="75">
      <c r="A75" s="84"/>
      <c r="B75" s="95"/>
      <c r="C75" s="95"/>
      <c r="D75" s="20"/>
    </row>
    <row r="76">
      <c r="A76" s="84"/>
      <c r="B76" s="95"/>
      <c r="C76" s="95"/>
      <c r="D76" s="20"/>
    </row>
    <row r="77">
      <c r="A77" s="84"/>
      <c r="B77" s="95"/>
      <c r="C77" s="95"/>
      <c r="D77" s="20"/>
    </row>
    <row r="78">
      <c r="A78" s="84"/>
      <c r="B78" s="95"/>
      <c r="C78" s="95"/>
      <c r="D78" s="20"/>
    </row>
    <row r="79">
      <c r="A79" s="84"/>
      <c r="B79" s="95"/>
      <c r="C79" s="95"/>
      <c r="D79" s="20"/>
    </row>
    <row r="80">
      <c r="A80" s="84"/>
      <c r="B80" s="95"/>
      <c r="C80" s="95"/>
      <c r="D80" s="20"/>
    </row>
    <row r="81">
      <c r="A81" s="84"/>
      <c r="B81" s="95"/>
      <c r="C81" s="95"/>
      <c r="D81" s="20"/>
    </row>
    <row r="83">
      <c r="A83" s="84"/>
    </row>
    <row r="85">
      <c r="B85" s="84"/>
      <c r="C85" s="84"/>
    </row>
    <row r="86">
      <c r="A86" s="84"/>
      <c r="B86" s="95"/>
      <c r="C86" s="95"/>
    </row>
    <row r="87">
      <c r="A87" s="84"/>
      <c r="B87" s="95"/>
      <c r="C87" s="95"/>
    </row>
    <row r="88">
      <c r="A88" s="84"/>
      <c r="B88" s="95"/>
      <c r="C88" s="95"/>
    </row>
    <row r="89">
      <c r="A89" s="84"/>
      <c r="B89" s="95"/>
      <c r="C89" s="95"/>
    </row>
    <row r="90">
      <c r="A90" s="84"/>
      <c r="B90" s="95"/>
      <c r="C90" s="95"/>
    </row>
    <row r="91">
      <c r="A91" s="84"/>
      <c r="B91" s="95"/>
      <c r="C91" s="95"/>
    </row>
    <row r="92">
      <c r="A92" s="84"/>
      <c r="B92" s="95"/>
      <c r="C92" s="95"/>
    </row>
    <row r="93">
      <c r="A93" s="84"/>
      <c r="B93" s="95"/>
      <c r="C93" s="95"/>
    </row>
    <row r="94">
      <c r="A94" s="84"/>
      <c r="B94" s="95"/>
      <c r="C94" s="95"/>
    </row>
    <row r="95">
      <c r="A95" s="84"/>
      <c r="B95" s="95"/>
      <c r="C95" s="95"/>
    </row>
    <row r="101">
      <c r="F101" s="96"/>
    </row>
    <row r="122">
      <c r="L122" s="91"/>
      <c r="M122" s="91"/>
      <c r="N122" s="91"/>
    </row>
    <row r="123">
      <c r="L123" s="97"/>
      <c r="M123" s="97"/>
      <c r="N123" s="97"/>
      <c r="O123" s="97"/>
      <c r="P123" s="98"/>
    </row>
    <row r="124">
      <c r="L124" s="97"/>
      <c r="M124" s="97"/>
      <c r="N124" s="97"/>
      <c r="O124" s="97"/>
      <c r="P124" s="98"/>
    </row>
    <row r="125">
      <c r="J125" s="99"/>
      <c r="K125" s="100"/>
      <c r="L125" s="97"/>
      <c r="M125" s="97"/>
      <c r="N125" s="97"/>
      <c r="O125" s="97"/>
      <c r="P125" s="101"/>
    </row>
    <row r="126">
      <c r="J126" s="99"/>
      <c r="K126" s="100"/>
      <c r="L126" s="97"/>
      <c r="M126" s="97"/>
      <c r="N126" s="97"/>
      <c r="O126" s="97"/>
      <c r="P126" s="102"/>
    </row>
    <row r="127">
      <c r="J127" s="99"/>
      <c r="K127" s="100"/>
      <c r="L127" s="97"/>
      <c r="M127" s="97"/>
      <c r="N127" s="97"/>
      <c r="O127" s="97"/>
      <c r="P127" s="101"/>
    </row>
    <row r="128">
      <c r="J128" s="103"/>
      <c r="K128" s="93"/>
      <c r="L128" s="97"/>
      <c r="M128" s="97"/>
      <c r="N128" s="97"/>
      <c r="O128" s="97"/>
      <c r="P128" s="98"/>
    </row>
    <row r="129">
      <c r="K129" s="93"/>
      <c r="L129" s="97"/>
      <c r="M129" s="97"/>
      <c r="N129" s="97"/>
      <c r="O129" s="97"/>
      <c r="P129" s="98"/>
    </row>
    <row r="130">
      <c r="K130" s="93"/>
      <c r="L130" s="97"/>
      <c r="M130" s="97"/>
      <c r="N130" s="97"/>
      <c r="O130" s="97"/>
      <c r="P130" s="98"/>
    </row>
    <row r="131">
      <c r="K131" s="100"/>
      <c r="L131" s="97"/>
      <c r="M131" s="97"/>
      <c r="N131" s="97"/>
      <c r="O131" s="97"/>
      <c r="P131" s="101"/>
    </row>
    <row r="132">
      <c r="K132" s="93"/>
      <c r="L132" s="97"/>
      <c r="M132" s="97"/>
      <c r="N132" s="97"/>
      <c r="O132" s="97"/>
      <c r="P132" s="98"/>
    </row>
    <row r="133">
      <c r="K133" s="100"/>
      <c r="L133" s="97"/>
      <c r="M133" s="97"/>
      <c r="N133" s="97"/>
      <c r="O133" s="97"/>
      <c r="P133" s="101"/>
    </row>
    <row r="134">
      <c r="K134" s="93"/>
      <c r="L134" s="97"/>
      <c r="M134" s="97"/>
      <c r="N134" s="97"/>
      <c r="O134" s="97"/>
      <c r="P134" s="98"/>
    </row>
    <row r="135">
      <c r="J135" s="99"/>
      <c r="K135" s="93"/>
      <c r="L135" s="97"/>
      <c r="M135" s="97"/>
      <c r="N135" s="97"/>
      <c r="O135" s="97"/>
      <c r="P135" s="98"/>
    </row>
    <row r="136">
      <c r="J136" s="103"/>
      <c r="K136" s="93"/>
      <c r="L136" s="97"/>
      <c r="M136" s="97"/>
      <c r="N136" s="97"/>
      <c r="O136" s="97"/>
      <c r="P136" s="98"/>
    </row>
    <row r="137">
      <c r="J137" s="103"/>
      <c r="K137" s="93"/>
      <c r="L137" s="97"/>
      <c r="M137" s="97"/>
      <c r="N137" s="97"/>
      <c r="O137" s="97"/>
      <c r="P137" s="98"/>
    </row>
    <row r="138">
      <c r="K138" s="82"/>
      <c r="L138" s="97"/>
      <c r="M138" s="97"/>
      <c r="N138" s="97"/>
      <c r="O138" s="97"/>
      <c r="P138" s="101"/>
    </row>
    <row r="139">
      <c r="K139" s="82"/>
      <c r="L139" s="97"/>
      <c r="M139" s="97"/>
      <c r="N139" s="97"/>
      <c r="O139" s="97"/>
      <c r="P139" s="101"/>
    </row>
    <row r="140">
      <c r="K140" s="104"/>
      <c r="L140" s="97"/>
      <c r="M140" s="97"/>
      <c r="N140" s="97"/>
      <c r="O140" s="97"/>
      <c r="P140" s="98"/>
    </row>
    <row r="141">
      <c r="K141" s="82"/>
      <c r="L141" s="97"/>
      <c r="M141" s="97"/>
      <c r="N141" s="97"/>
      <c r="O141" s="97"/>
      <c r="P141" s="101"/>
    </row>
    <row r="142">
      <c r="K142" s="104"/>
      <c r="L142" s="97"/>
      <c r="M142" s="97"/>
      <c r="N142" s="97"/>
      <c r="O142" s="97"/>
      <c r="P142" s="98"/>
    </row>
    <row r="143">
      <c r="K143" s="104"/>
      <c r="L143" s="97"/>
      <c r="M143" s="97"/>
      <c r="N143" s="97"/>
      <c r="O143" s="97"/>
      <c r="P143" s="98"/>
    </row>
    <row r="144">
      <c r="J144" s="99"/>
      <c r="K144" s="100"/>
      <c r="L144" s="97"/>
      <c r="M144" s="97"/>
      <c r="N144" s="97"/>
      <c r="O144" s="97"/>
      <c r="P144" s="101"/>
    </row>
    <row r="145">
      <c r="J145" s="103"/>
      <c r="K145" s="93"/>
      <c r="L145" s="97"/>
      <c r="M145" s="97"/>
      <c r="N145" s="97"/>
      <c r="O145" s="97"/>
      <c r="P145" s="98"/>
    </row>
    <row r="146">
      <c r="J146" s="99"/>
      <c r="K146" s="93"/>
      <c r="L146" s="97"/>
      <c r="M146" s="97"/>
      <c r="N146" s="97"/>
      <c r="O146" s="97"/>
      <c r="P146" s="98"/>
    </row>
    <row r="147">
      <c r="J147" s="99"/>
      <c r="K147" s="93"/>
      <c r="L147" s="97"/>
      <c r="M147" s="97"/>
      <c r="N147" s="97"/>
      <c r="O147" s="97"/>
      <c r="P147" s="98"/>
    </row>
    <row r="148">
      <c r="J148" s="105"/>
    </row>
  </sheetData>
  <conditionalFormatting sqref="E20:H31 J20:L31 M28:M31">
    <cfRule type="cellIs" dxfId="0" priority="1" operator="lessThan">
      <formula>0</formula>
    </cfRule>
  </conditionalFormatting>
  <conditionalFormatting sqref="D20:D31">
    <cfRule type="cellIs" dxfId="1" priority="2" operator="lessThan">
      <formula>0</formula>
    </cfRule>
  </conditionalFormatting>
  <conditionalFormatting sqref="D20:D31">
    <cfRule type="cellIs" dxfId="2" priority="3" operator="greaterThan">
      <formula>0</formula>
    </cfRule>
  </conditionalFormatting>
  <conditionalFormatting sqref="I16:M16">
    <cfRule type="cellIs" dxfId="3" priority="4" operator="lessThan">
      <formula>1</formula>
    </cfRule>
  </conditionalFormatting>
  <conditionalFormatting sqref="I16:M16">
    <cfRule type="cellIs" dxfId="4" priority="5" operator="greaterThan">
      <formula>0</formula>
    </cfRule>
  </conditionalFormatting>
  <conditionalFormatting sqref="N16">
    <cfRule type="cellIs" dxfId="5" priority="6" operator="greaterThanOrEqual">
      <formula>1</formula>
    </cfRule>
  </conditionalFormatting>
  <conditionalFormatting sqref="N16">
    <cfRule type="cellIs" dxfId="6" priority="7" operator="lessThan">
      <formula>1</formula>
    </cfRule>
  </conditionalFormatting>
  <conditionalFormatting sqref="I4:N15">
    <cfRule type="cellIs" dxfId="3" priority="8" operator="lessThan">
      <formula>0</formula>
    </cfRule>
  </conditionalFormatting>
  <conditionalFormatting sqref="O4:O15">
    <cfRule type="cellIs" dxfId="2" priority="9" operator="greaterThan">
      <formula>"1%"</formula>
    </cfRule>
  </conditionalFormatting>
  <conditionalFormatting sqref="O4:O15">
    <cfRule type="cellIs" dxfId="7" priority="10" operator="lessThan">
      <formula>"0.00%"</formula>
    </cfRule>
  </conditionalFormatting>
  <conditionalFormatting sqref="Q4:Q14">
    <cfRule type="colorScale" priority="11">
      <colorScale>
        <cfvo type="formula" val="1"/>
        <cfvo type="formula" val="6"/>
        <cfvo type="formula" val="11"/>
        <color rgb="FF6AA84F"/>
        <color rgb="FFFFFF00"/>
        <color rgb="FFEA9999"/>
      </colorScale>
    </cfRule>
  </conditionalFormatting>
  <conditionalFormatting sqref="P4:P14">
    <cfRule type="colorScale" priority="12">
      <colorScale>
        <cfvo type="formula" val="0"/>
        <cfvo type="formula" val="2.5"/>
        <cfvo type="formula" val="5"/>
        <color rgb="FFF4CCCC"/>
        <color rgb="FFFFFF00"/>
        <color rgb="FF6AA84F"/>
      </colorScale>
    </cfRule>
  </conditionalFormatting>
  <conditionalFormatting sqref="R4:R14">
    <cfRule type="colorScale" priority="13">
      <colorScale>
        <cfvo type="formula" val="-0.05"/>
        <cfvo type="formula" val="0"/>
        <cfvo type="formula" val="0.05"/>
        <color rgb="FFF4CCCC"/>
        <color rgb="FFFFFFFF"/>
        <color rgb="FF6AA84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2" t="s">
        <v>59</v>
      </c>
      <c r="E1" s="106">
        <f>IFERROR(__xludf.DUMMYFUNCTION("GOOGLEFINANCE(""CURRENCY:GBPEUR"")"),1.1538)</f>
        <v>1.1538</v>
      </c>
    </row>
    <row r="14">
      <c r="A14" s="36" t="s">
        <v>27</v>
      </c>
      <c r="B14" s="107" t="s">
        <v>60</v>
      </c>
      <c r="C14" s="36" t="s">
        <v>29</v>
      </c>
      <c r="D14" s="36" t="s">
        <v>30</v>
      </c>
      <c r="E14" s="36" t="s">
        <v>31</v>
      </c>
      <c r="F14" s="36" t="s">
        <v>32</v>
      </c>
      <c r="G14" s="37" t="s">
        <v>33</v>
      </c>
      <c r="H14" s="108" t="s">
        <v>34</v>
      </c>
      <c r="I14" s="107" t="s">
        <v>61</v>
      </c>
      <c r="J14" s="36" t="s">
        <v>36</v>
      </c>
      <c r="K14" s="36" t="s">
        <v>37</v>
      </c>
      <c r="L14" s="36" t="s">
        <v>38</v>
      </c>
      <c r="M14" s="36" t="s">
        <v>39</v>
      </c>
      <c r="N14" s="2" t="s">
        <v>62</v>
      </c>
    </row>
    <row r="15">
      <c r="A15" s="44" t="s">
        <v>63</v>
      </c>
      <c r="B15" s="107" t="s">
        <v>64</v>
      </c>
      <c r="C15" s="45">
        <f>IFERROR(__xludf.DUMMYFUNCTION("GOOGLEFINANCE(A15,""PRICE"")"),73.38)</f>
        <v>73.38</v>
      </c>
      <c r="D15" s="47">
        <f>IFERROR(__xludf.DUMMYFUNCTION("GOOGLEFINANCE(A15,""changepct"")/100"),0.0)</f>
        <v>0</v>
      </c>
      <c r="E15" s="20">
        <f>IFERROR(__xludf.DUMMYFUNCTION(" ((GOOGLEFINANCE(A15,""price"") - INDEX(GOOGLEFINANCE(A15,""price"",TODAY()-7),2,2)) / INDEX(GOOGLEFINANCE(A15,""price"",TODAY()-7),2,2))
"),0.0025959830577947495)</f>
        <v>0.002595983058</v>
      </c>
      <c r="F15" s="20">
        <f>IFERROR(__xludf.DUMMYFUNCTION(" ((GOOGLEFINANCE(A15,""price"") - INDEX(GOOGLEFINANCE(A15,""price"",TODAY()-30),2,2)) / INDEX(GOOGLEFINANCE(A15,""price"",TODAY()-30),2,2))
"),-0.003801248981808324)</f>
        <v>-0.003801248982</v>
      </c>
      <c r="G15" s="20">
        <f>IFERROR(__xludf.DUMMYFUNCTION(" ((GOOGLEFINANCE(A15,""price"") - INDEX(GOOGLEFINANCE(A15,""price"",TODAY()-90),2,2)) / INDEX(GOOGLEFINANCE(A15,""price"",TODAY()-90),2,2))"),-0.0012249897917517819)</f>
        <v>-0.001224989792</v>
      </c>
      <c r="H15" s="20">
        <f>IFERROR(__xludf.DUMMYFUNCTION(" ((GOOGLEFINANCE(A15,""price"") - INDEX(GOOGLEFINANCE(A15,""price"",TODAY()-182),2,2)) / INDEX(GOOGLEFINANCE(A15,""price"",TODAY()-182),2,2))"),0.012696660226331794)</f>
        <v>0.01269666023</v>
      </c>
      <c r="I15" s="20">
        <f>IFERROR(__xludf.DUMMYFUNCTION("(GOOGLEFINANCE(A15,""price"")-INDEX(GOOGLEFINANCE(A15,""price"",""01-01-""&amp;YEAR(TODAY())),2,2))/INDEX(GOOGLEFINANCE(A15,""price"",""01-01-""&amp;YEAR(TODAY())),2,2)"),0.005205479452054732)</f>
        <v>0.005205479452</v>
      </c>
      <c r="J15" s="20">
        <f>IFERROR(__xludf.DUMMYFUNCTION(" ((GOOGLEFINANCE(A15,""price"") - INDEX(GOOGLEFINANCE(A15,""price"",TODAY()-365),2,2)) / INDEX(GOOGLEFINANCE(A15,""price"",TODAY()-365),2,2))
"),0.08969408969408957)</f>
        <v>0.08969408969</v>
      </c>
      <c r="K15" s="20">
        <f>IFERROR(__xludf.DUMMYFUNCTION(" ((GOOGLEFINANCE(A15,""price"") - INDEX(GOOGLEFINANCE(A15,""price"",TODAY()-730),2,2)) / INDEX(GOOGLEFINANCE(A15,""price"",TODAY()-730),2,2))"),0.21009234828496035)</f>
        <v>0.2100923483</v>
      </c>
      <c r="L15" s="20">
        <f>IFERROR(__xludf.DUMMYFUNCTION(" ((GOOGLEFINANCE(A15,""price"") - INDEX(GOOGLEFINANCE(A15,""price"",TODAY()-1095),2,2)) / INDEX(GOOGLEFINANCE(A15,""price"",TODAY()-1095),2,2))"),0.30708941930887057)</f>
        <v>0.3070894193</v>
      </c>
      <c r="M15" s="20">
        <f>IFERROR(__xludf.DUMMYFUNCTION(" ((GOOGLEFINANCE(A15,""price"") - INDEX(GOOGLEFINANCE(A15,""price"",TODAY()-1825),2,2)) / INDEX(GOOGLEFINANCE(A15,""price"",TODAY()-1825),2,2))"),0.3573806881243062)</f>
        <v>0.3573806881</v>
      </c>
      <c r="N15" s="20">
        <f>IFERROR(__xludf.DUMMYFUNCTION(" ((GOOGLEFINANCE(A15,""price"") - INDEX(GOOGLEFINANCE(A15,""price"",TODAY()-3650),2,2)) / INDEX(GOOGLEFINANCE(A15,""price"",TODAY()-3650),2,2))"),1.1937219730941702)</f>
        <v>1.193721973</v>
      </c>
    </row>
    <row r="16">
      <c r="A16" s="44" t="s">
        <v>65</v>
      </c>
      <c r="B16" s="107" t="s">
        <v>66</v>
      </c>
      <c r="C16" s="45">
        <f>IFERROR(__xludf.DUMMYFUNCTION("GOOGLEFINANCE(A16,""price"")"),81.96)</f>
        <v>81.96</v>
      </c>
      <c r="D16" s="47">
        <f>IFERROR(__xludf.DUMMYFUNCTION("GOOGLEFINANCE(A16,""changepct"")/100"),0.0019)</f>
        <v>0.0019</v>
      </c>
      <c r="E16" s="20">
        <f>IFERROR(__xludf.DUMMYFUNCTION(" ((GOOGLEFINANCE(A16,""price"") - INDEX(GOOGLEFINANCE(A16,""price"",TODAY()-7),2,2)) / INDEX(GOOGLEFINANCE(A16,""price"",TODAY()-7),2,2))
"),0.009981515711644955)</f>
        <v>0.009981515712</v>
      </c>
      <c r="F16" s="20">
        <f>IFERROR(__xludf.DUMMYFUNCTION(" ((GOOGLEFINANCE(A16,""price"") - INDEX(GOOGLEFINANCE(A16,""price"",TODAY()-30),2,2)) / INDEX(GOOGLEFINANCE(A16,""price"",TODAY()-30),2,2))
"),0.022072577628133135)</f>
        <v>0.02207257763</v>
      </c>
      <c r="G16" s="20">
        <f>IFERROR(__xludf.DUMMYFUNCTION(" ((GOOGLEFINANCE(A16,""price"") - INDEX(GOOGLEFINANCE(A16,""price"",TODAY()-90),2,2)) / INDEX(GOOGLEFINANCE(A16,""price"",TODAY()-90),2,2))"),0.03917839482693025)</f>
        <v>0.03917839483</v>
      </c>
      <c r="H16" s="20">
        <f>IFERROR(__xludf.DUMMYFUNCTION(" ((GOOGLEFINANCE(A16,""price"") - INDEX(GOOGLEFINANCE(A16,""price"",TODAY()-182),2,2)) / INDEX(GOOGLEFINANCE(A16,""price"",TODAY()-182),2,2))"),0.10176098938029296)</f>
        <v>0.1017609894</v>
      </c>
      <c r="I16" s="20">
        <f>IFERROR(__xludf.DUMMYFUNCTION("(GOOGLEFINANCE(A16,""price"")-INDEX(GOOGLEFINANCE(A16,""price"",""01-01-""&amp;YEAR(TODAY())),2,2))/INDEX(GOOGLEFINANCE(A16,""price"",""01-01-""&amp;YEAR(TODAY())),2,2)"),0.025012506253126565)</f>
        <v>0.02501250625</v>
      </c>
      <c r="J16" s="20">
        <f>IFERROR(__xludf.DUMMYFUNCTION(" ((GOOGLEFINANCE(A16,""price"") - INDEX(GOOGLEFINANCE(A16,""price"",TODAY()-365),2,2)) / INDEX(GOOGLEFINANCE(A16,""price"",TODAY()-365),2,2))
"),0.14485263304930843)</f>
        <v>0.144852633</v>
      </c>
      <c r="K16" s="20">
        <f>IFERROR(__xludf.DUMMYFUNCTION(" ((GOOGLEFINANCE(A16,""price"") - INDEX(GOOGLEFINANCE(A16,""price"",TODAY()-730),2,2)) / INDEX(GOOGLEFINANCE(A16,""price"",TODAY()-730),2,2))"),0.35672901837444126)</f>
        <v>0.3567290184</v>
      </c>
      <c r="L16" s="20">
        <f>IFERROR(__xludf.DUMMYFUNCTION(" ((GOOGLEFINANCE(A16,""price"") - INDEX(GOOGLEFINANCE(A16,""price"",TODAY()-1095),2,2)) / INDEX(GOOGLEFINANCE(A16,""price"",TODAY()-1095),2,2))"),0.6618004866180047)</f>
        <v>0.6618004866</v>
      </c>
      <c r="M16" s="20">
        <f>IFERROR(__xludf.DUMMYFUNCTION(" ((GOOGLEFINANCE(A16,""price"") - INDEX(GOOGLEFINANCE(A16,""price"",TODAY()-1825),2,2)) / INDEX(GOOGLEFINANCE(A16,""price"",TODAY()-1825),2,2))"),0.7135688898181057)</f>
        <v>0.7135688898</v>
      </c>
      <c r="N16" s="20" t="str">
        <f>IFERROR(__xludf.DUMMYFUNCTION(" ((GOOGLEFINANCE(A16,""price"") - INDEX(GOOGLEFINANCE(A16,""price"",TODAY()-3650),2,2)) / INDEX(GOOGLEFINANCE(A16,""price"",TODAY()-3650),2,2))"),"#N/A")</f>
        <v>#N/A</v>
      </c>
    </row>
    <row r="17">
      <c r="A17" s="44" t="s">
        <v>67</v>
      </c>
      <c r="B17" s="107" t="s">
        <v>68</v>
      </c>
      <c r="C17" s="45">
        <f>IFERROR(__xludf.DUMMYFUNCTION("GOOGLEFINANCE(A17,""price"")"),100.06)</f>
        <v>100.06</v>
      </c>
      <c r="D17" s="109">
        <f>IFERROR(__xludf.DUMMYFUNCTION("GOOGLEFINANCE(A17,""changepct"")/100"),-0.0014000000000000002)</f>
        <v>-0.0014</v>
      </c>
      <c r="E17" s="20">
        <f>IFERROR(__xludf.DUMMYFUNCTION(" ((GOOGLEFINANCE(A17,""price"") - INDEX(GOOGLEFINANCE(A17,""price"",TODAY()-7),2,2)) / INDEX(GOOGLEFINANCE(A17,""price"",TODAY()-7),2,2))
"),-0.0028898854010960843)</f>
        <v>-0.002889885401</v>
      </c>
      <c r="F17" s="20">
        <f>IFERROR(__xludf.DUMMYFUNCTION(" ((GOOGLEFINANCE(A17,""price"") - INDEX(GOOGLEFINANCE(A17,""price"",TODAY()-30),2,2)) / INDEX(GOOGLEFINANCE(A17,""price"",TODAY()-30),2,2))
"),0.022794643769804803)</f>
        <v>0.02279464377</v>
      </c>
      <c r="G17" s="20">
        <f>IFERROR(__xludf.DUMMYFUNCTION(" ((GOOGLEFINANCE(A17,""price"") - INDEX(GOOGLEFINANCE(A17,""price"",TODAY()-90),2,2)) / INDEX(GOOGLEFINANCE(A17,""price"",TODAY()-90),2,2))"),0.03926049023680932)</f>
        <v>0.03926049024</v>
      </c>
      <c r="H17" s="20">
        <f>IFERROR(__xludf.DUMMYFUNCTION(" ((GOOGLEFINANCE(A17,""price"") - INDEX(GOOGLEFINANCE(A17,""price"",TODAY()-182),2,2)) / INDEX(GOOGLEFINANCE(A17,""price"",TODAY()-182),2,2))"),0.10600198960981545)</f>
        <v>0.1060019896</v>
      </c>
      <c r="I17" s="20">
        <f>IFERROR(__xludf.DUMMYFUNCTION("(GOOGLEFINANCE(A17,""price"")-INDEX(GOOGLEFINANCE(A17,""price"",""01-01-""&amp;YEAR(TODAY())),2,2))/INDEX(GOOGLEFINANCE(A17,""price"",""01-01-""&amp;YEAR(TODAY())),2,2)"),0.020812079167516897)</f>
        <v>0.02081207917</v>
      </c>
      <c r="J17" s="20">
        <f>IFERROR(__xludf.DUMMYFUNCTION(" ((GOOGLEFINANCE(A17,""price"") - INDEX(GOOGLEFINANCE(A17,""price"",TODAY()-365),2,2)) / INDEX(GOOGLEFINANCE(A17,""price"",TODAY()-365),2,2))
"),0.1831618777344213)</f>
        <v>0.1831618777</v>
      </c>
      <c r="K17" s="20">
        <f>IFERROR(__xludf.DUMMYFUNCTION(" ((GOOGLEFINANCE(A17,""price"") - INDEX(GOOGLEFINANCE(A17,""price"",TODAY()-730),2,2)) / INDEX(GOOGLEFINANCE(A17,""price"",TODAY()-730),2,2))"),0.5304374426430102)</f>
        <v>0.5304374426</v>
      </c>
      <c r="L17" s="20">
        <f>IFERROR(__xludf.DUMMYFUNCTION(" ((GOOGLEFINANCE(A17,""price"") - INDEX(GOOGLEFINANCE(A17,""price"",TODAY()-1095),2,2)) / INDEX(GOOGLEFINANCE(A17,""price"",TODAY()-1095),2,2))"),0.7986697824914614)</f>
        <v>0.7986697825</v>
      </c>
      <c r="M17" s="20">
        <f>IFERROR(__xludf.DUMMYFUNCTION(" ((GOOGLEFINANCE(A17,""price"") - INDEX(GOOGLEFINANCE(A17,""price"",TODAY()-1825),2,2)) / INDEX(GOOGLEFINANCE(A17,""price"",TODAY()-1825),2,2))"),0.6240869988638209)</f>
        <v>0.6240869989</v>
      </c>
      <c r="N17" s="20">
        <f>IFERROR(__xludf.DUMMYFUNCTION(" ((GOOGLEFINANCE(A17,""price"") - INDEX(GOOGLEFINANCE(A17,""price"",TODAY()-3650),2,2)) / INDEX(GOOGLEFINANCE(A17,""price"",TODAY()-3650),2,2))"),2.9177760375880974)</f>
        <v>2.917776038</v>
      </c>
    </row>
    <row r="18">
      <c r="A18" s="44" t="s">
        <v>69</v>
      </c>
      <c r="B18" s="107" t="s">
        <v>70</v>
      </c>
      <c r="C18" s="45">
        <f>IFERROR(__xludf.DUMMYFUNCTION("GOOGLEFINANCE(A18,""price"")"),62.72)</f>
        <v>62.72</v>
      </c>
      <c r="D18" s="109">
        <f>IFERROR(__xludf.DUMMYFUNCTION("GOOGLEFINANCE(A18,""changepct"")/100"),-0.0084)</f>
        <v>-0.0084</v>
      </c>
      <c r="E18" s="20">
        <f>IFERROR(__xludf.DUMMYFUNCTION(" ((GOOGLEFINANCE(A18,""price"") - INDEX(GOOGLEFINANCE(A18,""price"",TODAY()-7),2,2)) / INDEX(GOOGLEFINANCE(A18,""price"",TODAY()-7),2,2))
"),0.013247172859450733)</f>
        <v>0.01324717286</v>
      </c>
      <c r="F18" s="20">
        <f>IFERROR(__xludf.DUMMYFUNCTION(" ((GOOGLEFINANCE(A18,""price"") - INDEX(GOOGLEFINANCE(A18,""price"",TODAY()-30),2,2)) / INDEX(GOOGLEFINANCE(A18,""price"",TODAY()-30),2,2))
"),0.043767681810617326)</f>
        <v>0.04376768181</v>
      </c>
      <c r="G18" s="20">
        <f>IFERROR(__xludf.DUMMYFUNCTION(" ((GOOGLEFINANCE(A18,""price"") - INDEX(GOOGLEFINANCE(A18,""price"",TODAY()-90),2,2)) / INDEX(GOOGLEFINANCE(A18,""price"",TODAY()-90),2,2))"),0.1108749557208643)</f>
        <v>0.1108749557</v>
      </c>
      <c r="H18" s="20">
        <f>IFERROR(__xludf.DUMMYFUNCTION(" ((GOOGLEFINANCE(A18,""price"") - INDEX(GOOGLEFINANCE(A18,""price"",TODAY()-182),2,2)) / INDEX(GOOGLEFINANCE(A18,""price"",TODAY()-182),2,2))"),0.24001581652827206)</f>
        <v>0.2400158165</v>
      </c>
      <c r="I18" s="20">
        <f>IFERROR(__xludf.DUMMYFUNCTION("(GOOGLEFINANCE(A18,""price"")-INDEX(GOOGLEFINANCE(A18,""price"",""01-01-""&amp;YEAR(TODAY())),2,2))/INDEX(GOOGLEFINANCE(A18,""price"",""01-01-""&amp;YEAR(TODAY())),2,2)"),0.03378935223339372)</f>
        <v>0.03378935223</v>
      </c>
      <c r="J18" s="20">
        <f>IFERROR(__xludf.DUMMYFUNCTION(" ((GOOGLEFINANCE(A18,""price"") - INDEX(GOOGLEFINANCE(A18,""price"",TODAY()-365),2,2)) / INDEX(GOOGLEFINANCE(A18,""price"",TODAY()-365),2,2))
"),0.40912154572006293)</f>
        <v>0.4091215457</v>
      </c>
      <c r="K18" s="20">
        <f>IFERROR(__xludf.DUMMYFUNCTION(" ((GOOGLEFINANCE(A18,""price"") - INDEX(GOOGLEFINANCE(A18,""price"",TODAY()-730),2,2)) / INDEX(GOOGLEFINANCE(A18,""price"",TODAY()-730),2,2))"),0.5410319410319409)</f>
        <v>0.541031941</v>
      </c>
      <c r="L18" s="20">
        <f>IFERROR(__xludf.DUMMYFUNCTION(" ((GOOGLEFINANCE(A18,""price"") - INDEX(GOOGLEFINANCE(A18,""price"",TODAY()-1095),2,2)) / INDEX(GOOGLEFINANCE(A18,""price"",TODAY()-1095),2,2))"),0.7340337296101741)</f>
        <v>0.7340337296</v>
      </c>
      <c r="M18" s="20">
        <f>IFERROR(__xludf.DUMMYFUNCTION(" ((GOOGLEFINANCE(A18,""price"") - INDEX(GOOGLEFINANCE(A18,""price"",TODAY()-1825),2,2)) / INDEX(GOOGLEFINANCE(A18,""price"",TODAY()-1825),2,2))"),0.9198041016222833)</f>
        <v>0.9198041016</v>
      </c>
      <c r="N18" s="20" t="str">
        <f>IFERROR(__xludf.DUMMYFUNCTION(" ((GOOGLEFINANCE(A18,""price"") - INDEX(GOOGLEFINANCE(A18,""price"",TODAY()-3650),2,2)) / INDEX(GOOGLEFINANCE(A18,""price"",TODAY()-3650),2,2))"),"#N/A")</f>
        <v>#N/A</v>
      </c>
    </row>
    <row r="19">
      <c r="A19" s="44" t="s">
        <v>71</v>
      </c>
      <c r="B19" s="107" t="s">
        <v>72</v>
      </c>
      <c r="C19" s="45">
        <f>IFERROR(__xludf.DUMMYFUNCTION("GOOGLEFINANCE(A19,""price"")"),100.85)</f>
        <v>100.85</v>
      </c>
      <c r="D19" s="109">
        <f>IFERROR(__xludf.DUMMYFUNCTION("GOOGLEFINANCE(A19,""changepct"")/100"),-0.0139)</f>
        <v>-0.0139</v>
      </c>
      <c r="E19" s="20">
        <f>IFERROR(__xludf.DUMMYFUNCTION(" ((GOOGLEFINANCE(A19,""price"") - INDEX(GOOGLEFINANCE(A19,""price"",TODAY()-7),2,2)) / INDEX(GOOGLEFINANCE(A19,""price"",TODAY()-7),2,2))
"),0.005684084563222907)</f>
        <v>0.005684084563</v>
      </c>
      <c r="F19" s="20">
        <f>IFERROR(__xludf.DUMMYFUNCTION(" ((GOOGLEFINANCE(A19,""price"") - INDEX(GOOGLEFINANCE(A19,""price"",TODAY()-30),2,2)) / INDEX(GOOGLEFINANCE(A19,""price"",TODAY()-30),2,2))
"),0.053153717627401724)</f>
        <v>0.05315371763</v>
      </c>
      <c r="G19" s="20">
        <f>IFERROR(__xludf.DUMMYFUNCTION(" ((GOOGLEFINANCE(A19,""price"") - INDEX(GOOGLEFINANCE(A19,""price"",TODAY()-90),2,2)) / INDEX(GOOGLEFINANCE(A19,""price"",TODAY()-90),2,2))"),0.05823714585519409)</f>
        <v>0.05823714586</v>
      </c>
      <c r="H19" s="20">
        <f>IFERROR(__xludf.DUMMYFUNCTION(" ((GOOGLEFINANCE(A19,""price"") - INDEX(GOOGLEFINANCE(A19,""price"",TODAY()-182),2,2)) / INDEX(GOOGLEFINANCE(A19,""price"",TODAY()-182),2,2))"),0.14863325740318903)</f>
        <v>0.1486332574</v>
      </c>
      <c r="I19" s="20">
        <f>IFERROR(__xludf.DUMMYFUNCTION("(GOOGLEFINANCE(A19,""price"")-INDEX(GOOGLEFINANCE(A19,""price"",""01-01-""&amp;YEAR(TODAY())),2,2))/INDEX(GOOGLEFINANCE(A19,""price"",""01-01-""&amp;YEAR(TODAY())),2,2)"),0.056463440184370425)</f>
        <v>0.05646344018</v>
      </c>
      <c r="J19" s="20">
        <f>IFERROR(__xludf.DUMMYFUNCTION(" ((GOOGLEFINANCE(A19,""price"") - INDEX(GOOGLEFINANCE(A19,""price"",TODAY()-365),2,2)) / INDEX(GOOGLEFINANCE(A19,""price"",TODAY()-365),2,2))
"),0.13212842388863938)</f>
        <v>0.1321284239</v>
      </c>
      <c r="K19" s="20">
        <f>IFERROR(__xludf.DUMMYFUNCTION(" ((GOOGLEFINANCE(A19,""price"") - INDEX(GOOGLEFINANCE(A19,""price"",TODAY()-730),2,2)) / INDEX(GOOGLEFINANCE(A19,""price"",TODAY()-730),2,2))"),0.32366452290326814)</f>
        <v>0.3236645229</v>
      </c>
      <c r="L19" s="20">
        <f>IFERROR(__xludf.DUMMYFUNCTION(" ((GOOGLEFINANCE(A19,""price"") - INDEX(GOOGLEFINANCE(A19,""price"",TODAY()-1095),2,2)) / INDEX(GOOGLEFINANCE(A19,""price"",TODAY()-1095),2,2))"),0.3567872998789183)</f>
        <v>0.3567872999</v>
      </c>
      <c r="M19" s="20">
        <f>IFERROR(__xludf.DUMMYFUNCTION(" ((GOOGLEFINANCE(A19,""price"") - INDEX(GOOGLEFINANCE(A19,""price"",TODAY()-1825),2,2)) / INDEX(GOOGLEFINANCE(A19,""price"",TODAY()-1825),2,2))"),0.4327319221480323)</f>
        <v>0.4327319221</v>
      </c>
      <c r="N19" s="20" t="str">
        <f>IFERROR(__xludf.DUMMYFUNCTION(" ((GOOGLEFINANCE(A19,""price"") - INDEX(GOOGLEFINANCE(A19,""price"",TODAY()-3650),2,2)) / INDEX(GOOGLEFINANCE(A19,""price"",TODAY()-3650),2,2))"),"#N/A")</f>
        <v>#N/A</v>
      </c>
    </row>
    <row r="20">
      <c r="A20" s="110" t="s">
        <v>73</v>
      </c>
      <c r="B20" s="111" t="s">
        <v>74</v>
      </c>
      <c r="C20" s="112">
        <f>IFERROR(__xludf.DUMMYFUNCTION("GOOGLEFINANCE(A20,""price"")"),9781.0)</f>
        <v>9781</v>
      </c>
      <c r="D20" s="113">
        <f>IFERROR(__xludf.DUMMYFUNCTION("GOOGLEFINANCE(A20,""changepct"")/100"),-0.005699999999999999)</f>
        <v>-0.0057</v>
      </c>
      <c r="E20" s="114">
        <f>IFERROR(__xludf.DUMMYFUNCTION(" ((GOOGLEFINANCE(A20,""price"") - INDEX(GOOGLEFINANCE(A20,""price"",TODAY()-7),2,2)) / INDEX(GOOGLEFINANCE(A20,""price"",TODAY()-7),2,2))
"),-0.002651167533394514)</f>
        <v>-0.002651167533</v>
      </c>
      <c r="F20" s="114">
        <f>IFERROR(__xludf.DUMMYFUNCTION(" ((GOOGLEFINANCE(A20,""price"") - INDEX(GOOGLEFINANCE(A20,""price"",TODAY()-30),2,2)) / INDEX(GOOGLEFINANCE(A20,""price"",TODAY()-30),2,2))
"),0.005965237066748946)</f>
        <v>0.005965237067</v>
      </c>
      <c r="G20" s="114">
        <f>IFERROR(__xludf.DUMMYFUNCTION(" ((GOOGLEFINANCE(A20,""price"") - INDEX(GOOGLEFINANCE(A20,""price"",TODAY()-90),2,2)) / INDEX(GOOGLEFINANCE(A20,""price"",TODAY()-90),2,2))"),0.006275720164609053)</f>
        <v>0.006275720165</v>
      </c>
      <c r="H20" s="114">
        <f>IFERROR(__xludf.DUMMYFUNCTION(" ((GOOGLEFINANCE(A20,""price"") - INDEX(GOOGLEFINANCE(A20,""price"",TODAY()-182),2,2)) / INDEX(GOOGLEFINANCE(A20,""price"",TODAY()-182),2,2))"),0.0865363252610531)</f>
        <v>0.08653632526</v>
      </c>
      <c r="I20" s="114">
        <f>IFERROR(__xludf.DUMMYFUNCTION("(GOOGLEFINANCE(A20,""price"")-INDEX(GOOGLEFINANCE(A20,""price"",""01-01-""&amp;YEAR(TODAY())),2,2))/INDEX(GOOGLEFINANCE(A20,""price"",""01-01-""&amp;YEAR(TODAY())),2,2)"),0.009599504541701073)</f>
        <v>0.009599504542</v>
      </c>
      <c r="J20" s="114">
        <f>IFERROR(__xludf.DUMMYFUNCTION(" ((GOOGLEFINANCE(A20,""price"") - INDEX(GOOGLEFINANCE(A20,""price"",TODAY()-365),2,2)) / INDEX(GOOGLEFINANCE(A20,""price"",TODAY()-365),2,2))
"),0.08744232586580689)</f>
        <v>0.08744232587</v>
      </c>
      <c r="K20" s="114">
        <f>IFERROR(__xludf.DUMMYFUNCTION(" ((GOOGLEFINANCE(A20,""price"") - INDEX(GOOGLEFINANCE(A20,""price"",TODAY()-730),2,2)) / INDEX(GOOGLEFINANCE(A20,""price"",TODAY()-730),2,2))"),0.35059375863021264)</f>
        <v>0.3505937586</v>
      </c>
      <c r="L20" s="114">
        <f>IFERROR(__xludf.DUMMYFUNCTION(" ((GOOGLEFINANCE(A20,""price"") - INDEX(GOOGLEFINANCE(A20,""price"",TODAY()-1095),2,2)) / INDEX(GOOGLEFINANCE(A20,""price"",TODAY()-1095),2,2))"),0.569228300978662)</f>
        <v>0.569228301</v>
      </c>
      <c r="M20" s="114">
        <f>IFERROR(__xludf.DUMMYFUNCTION(" ((GOOGLEFINANCE(A20,""price"") - INDEX(GOOGLEFINANCE(A20,""price"",TODAY()-1825),2,2)) / INDEX(GOOGLEFINANCE(A20,""price"",TODAY()-1825),2,2))"),0.7894255396999634)</f>
        <v>0.7894255397</v>
      </c>
      <c r="N20" s="114">
        <f>IFERROR(__xludf.DUMMYFUNCTION(" ((GOOGLEFINANCE(A20,""price"") - INDEX(GOOGLEFINANCE(A20,""price"",TODAY()-3650),2,2)) / INDEX(GOOGLEFINANCE(A20,""price"",TODAY()-3650),2,2))"),2.666729147141518)</f>
        <v>2.666729147</v>
      </c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</row>
    <row r="21">
      <c r="A21" s="110" t="s">
        <v>75</v>
      </c>
      <c r="B21" s="111" t="s">
        <v>76</v>
      </c>
      <c r="C21" s="112">
        <f>IFERROR(__xludf.DUMMYFUNCTION("GOOGLEFINANCE(A21,""price"")"),96.84)</f>
        <v>96.84</v>
      </c>
      <c r="D21" s="113">
        <f>IFERROR(__xludf.DUMMYFUNCTION("GOOGLEFINANCE(A21,""changepct"")/100"),-0.0040999999999999995)</f>
        <v>-0.0041</v>
      </c>
      <c r="E21" s="114">
        <f>IFERROR(__xludf.DUMMYFUNCTION(" ((GOOGLEFINANCE(A21,""price"") - INDEX(GOOGLEFINANCE(A21,""price"",TODAY()-7),2,2)) / INDEX(GOOGLEFINANCE(A21,""price"",TODAY()-7),2,2))
"),0.006338979528213649)</f>
        <v>0.006338979528</v>
      </c>
      <c r="F21" s="114">
        <f>IFERROR(__xludf.DUMMYFUNCTION(" ((GOOGLEFINANCE(A21,""price"") - INDEX(GOOGLEFINANCE(A21,""price"",TODAY()-30),2,2)) / INDEX(GOOGLEFINANCE(A21,""price"",TODAY()-30),2,2))
"),0.014243820695433592)</f>
        <v>0.0142438207</v>
      </c>
      <c r="G21" s="114">
        <f>IFERROR(__xludf.DUMMYFUNCTION(" ((GOOGLEFINANCE(A21,""price"") - INDEX(GOOGLEFINANCE(A21,""price"",TODAY()-90),2,2)) / INDEX(GOOGLEFINANCE(A21,""price"",TODAY()-90),2,2))"),0.047938534790607154)</f>
        <v>0.04793853479</v>
      </c>
      <c r="H21" s="114">
        <f>IFERROR(__xludf.DUMMYFUNCTION(" ((GOOGLEFINANCE(A21,""price"") - INDEX(GOOGLEFINANCE(A21,""price"",TODAY()-182),2,2)) / INDEX(GOOGLEFINANCE(A21,""price"",TODAY()-182),2,2))"),0.11966701352757554)</f>
        <v>0.1196670135</v>
      </c>
      <c r="I21" s="114">
        <f>IFERROR(__xludf.DUMMYFUNCTION("(GOOGLEFINANCE(A21,""price"")-INDEX(GOOGLEFINANCE(A21,""price"",""01-01-""&amp;YEAR(TODAY())),2,2))/INDEX(GOOGLEFINANCE(A21,""price"",""01-01-""&amp;YEAR(TODAY())),2,2)"),0.014987946756105302)</f>
        <v>0.01498794676</v>
      </c>
      <c r="J21" s="114">
        <f>IFERROR(__xludf.DUMMYFUNCTION(" ((GOOGLEFINANCE(A21,""price"") - INDEX(GOOGLEFINANCE(A21,""price"",TODAY()-365),2,2)) / INDEX(GOOGLEFINANCE(A21,""price"",TODAY()-365),2,2))
"),0.18836667075714822)</f>
        <v>0.1883666708</v>
      </c>
      <c r="K21" s="114">
        <f>IFERROR(__xludf.DUMMYFUNCTION(" ((GOOGLEFINANCE(A21,""price"") - INDEX(GOOGLEFINANCE(A21,""price"",TODAY()-730),2,2)) / INDEX(GOOGLEFINANCE(A21,""price"",TODAY()-730),2,2))"),0.4852760736196319)</f>
        <v>0.4852760736</v>
      </c>
      <c r="L21" s="114">
        <f>IFERROR(__xludf.DUMMYFUNCTION(" ((GOOGLEFINANCE(A21,""price"") - INDEX(GOOGLEFINANCE(A21,""price"",TODAY()-1095),2,2)) / INDEX(GOOGLEFINANCE(A21,""price"",TODAY()-1095),2,2))"),0.7910116515627891)</f>
        <v>0.7910116516</v>
      </c>
      <c r="M21" s="114">
        <f>IFERROR(__xludf.DUMMYFUNCTION(" ((GOOGLEFINANCE(A21,""price"") - INDEX(GOOGLEFINANCE(A21,""price"",TODAY()-1825),2,2)) / INDEX(GOOGLEFINANCE(A21,""price"",TODAY()-1825),2,2))"),0.9646987218502739)</f>
        <v>0.9646987219</v>
      </c>
      <c r="N21" s="114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</row>
    <row r="22">
      <c r="A22" s="116" t="s">
        <v>77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</row>
  </sheetData>
  <conditionalFormatting sqref="D15:D21">
    <cfRule type="cellIs" dxfId="1" priority="1" operator="lessThan">
      <formula>0</formula>
    </cfRule>
  </conditionalFormatting>
  <conditionalFormatting sqref="D15:D21">
    <cfRule type="cellIs" dxfId="2" priority="2" operator="greaterThan">
      <formula>0</formula>
    </cfRule>
  </conditionalFormatting>
  <conditionalFormatting sqref="E15:M21">
    <cfRule type="cellIs" dxfId="3" priority="3" operator="lessThan">
      <formula>0</formula>
    </cfRule>
  </conditionalFormatting>
  <conditionalFormatting sqref="E15:M21">
    <cfRule type="cellIs" dxfId="8" priority="4" operator="greaterThan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4" width="14.88"/>
  </cols>
  <sheetData>
    <row r="1">
      <c r="A1" s="118" t="s">
        <v>78</v>
      </c>
      <c r="B1" s="119"/>
      <c r="C1" s="120"/>
      <c r="D1" s="120"/>
      <c r="E1" s="121"/>
      <c r="F1" s="122"/>
      <c r="G1" s="122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ht="13.5" customHeight="1">
      <c r="A2" s="124"/>
      <c r="B2" s="125" t="s">
        <v>79</v>
      </c>
      <c r="C2" s="126"/>
      <c r="D2" s="126" t="s">
        <v>80</v>
      </c>
      <c r="E2" s="127" t="s">
        <v>81</v>
      </c>
      <c r="F2" s="128" t="s">
        <v>82</v>
      </c>
      <c r="G2" s="129" t="s">
        <v>83</v>
      </c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</row>
    <row r="3" ht="16.5" customHeight="1">
      <c r="A3" s="131" t="s">
        <v>84</v>
      </c>
      <c r="B3" s="132" t="s">
        <v>85</v>
      </c>
      <c r="C3" s="71"/>
      <c r="D3" s="71"/>
      <c r="F3" s="68">
        <f>IFERROR(__xludf.DUMMYFUNCTION("GOOGLEFINANCE(""INDEXSP:.INX"")"),6915.61)</f>
        <v>6915.61</v>
      </c>
      <c r="G3" s="133">
        <v>57894.0</v>
      </c>
      <c r="H3" s="2" t="s">
        <v>86</v>
      </c>
    </row>
    <row r="4">
      <c r="B4" s="75" t="s">
        <v>87</v>
      </c>
      <c r="C4" s="134"/>
      <c r="D4" s="134">
        <f>IFERROR(__xludf.DUMMYFUNCTION("GOOGLEFINANCE(""goog"",""marketcap"")/1000000000"),3958.738078582)</f>
        <v>3958.738079</v>
      </c>
      <c r="E4" s="135">
        <f t="shared" ref="E4:E8" si="1">(D4/$G$3)*100</f>
        <v>6.837907345</v>
      </c>
    </row>
    <row r="5">
      <c r="A5" s="136"/>
      <c r="B5" s="75" t="s">
        <v>88</v>
      </c>
      <c r="C5" s="134"/>
      <c r="D5" s="134">
        <f>IFERROR(__xludf.DUMMYFUNCTION("GOOGLEFINANCE(""googl"",""marketcap"")/1000000000"),3958.738078582)</f>
        <v>3958.738079</v>
      </c>
      <c r="E5" s="135">
        <f t="shared" si="1"/>
        <v>6.837907345</v>
      </c>
    </row>
    <row r="6">
      <c r="B6" s="137" t="s">
        <v>89</v>
      </c>
      <c r="C6" s="138"/>
      <c r="D6" s="138">
        <f>IFERROR(__xludf.DUMMYFUNCTION("GOOGLEFINANCE(""meta"",""marketcap"")/1000000000"),1660.422391134)</f>
        <v>1660.422391</v>
      </c>
      <c r="E6" s="135">
        <f t="shared" si="1"/>
        <v>2.868038814</v>
      </c>
      <c r="G6" s="139" t="s">
        <v>90</v>
      </c>
      <c r="H6" s="140"/>
      <c r="I6" s="141"/>
    </row>
    <row r="7">
      <c r="B7" s="75" t="s">
        <v>91</v>
      </c>
      <c r="C7" s="134"/>
      <c r="D7" s="134">
        <f>IFERROR(__xludf.DUMMYFUNCTION("GOOGLEFINANCE(""nasdaq:NFLX"",""marketcap"")/1000000000"),393.52483583)</f>
        <v>393.5248358</v>
      </c>
      <c r="E7" s="135">
        <f t="shared" si="1"/>
        <v>0.6797333676</v>
      </c>
      <c r="G7" s="142" t="str">
        <f>IFERROR(__xludf.DUMMYFUNCTION("FILTER(B4:B78,D4:D78&gt;=1000)"),"alphabet a")</f>
        <v>alphabet a</v>
      </c>
      <c r="I7" s="21"/>
    </row>
    <row r="8">
      <c r="B8" s="75" t="s">
        <v>92</v>
      </c>
      <c r="C8" s="134"/>
      <c r="D8" s="134">
        <f>IFERROR(__xludf.DUMMYFUNCTION("GOOGLEFINANCE(""NASDAQ:wbd"",""marketcap"")/1000000000"),70.83261465)</f>
        <v>70.83261465</v>
      </c>
      <c r="E8" s="135">
        <f t="shared" si="1"/>
        <v>0.1223488007</v>
      </c>
      <c r="G8" s="143" t="str">
        <f>IFERROR(__xludf.DUMMYFUNCTION("""COMPUTED_VALUE"""),"alphabet c")</f>
        <v>alphabet c</v>
      </c>
      <c r="I8" s="21"/>
    </row>
    <row r="9">
      <c r="B9" s="71"/>
      <c r="C9" s="144"/>
      <c r="D9" s="144"/>
      <c r="E9" s="145">
        <f>SUM(E4:E8)</f>
        <v>17.34593567</v>
      </c>
      <c r="G9" s="143" t="str">
        <f>IFERROR(__xludf.DUMMYFUNCTION("""COMPUTED_VALUE"""),"meta")</f>
        <v>meta</v>
      </c>
      <c r="I9" s="21"/>
    </row>
    <row r="10">
      <c r="A10" s="131" t="s">
        <v>93</v>
      </c>
      <c r="B10" s="132" t="s">
        <v>94</v>
      </c>
      <c r="C10" s="144"/>
      <c r="D10" s="144"/>
      <c r="E10" s="135"/>
      <c r="G10" s="143" t="str">
        <f>IFERROR(__xludf.DUMMYFUNCTION("""COMPUTED_VALUE"""),"amazon")</f>
        <v>amazon</v>
      </c>
      <c r="I10" s="21"/>
    </row>
    <row r="11">
      <c r="B11" s="75" t="s">
        <v>95</v>
      </c>
      <c r="C11" s="134"/>
      <c r="D11" s="134">
        <f>IFERROR(__xludf.DUMMYFUNCTION("GOOGLEFINANCE(""AMZN"",""marketcap"")/1000000000"),2556.670662748)</f>
        <v>2556.670663</v>
      </c>
      <c r="E11" s="135">
        <f t="shared" ref="E11:E15" si="2">(D11/$G$3)*100</f>
        <v>4.416123714</v>
      </c>
      <c r="G11" s="143" t="str">
        <f>IFERROR(__xludf.DUMMYFUNCTION("""COMPUTED_VALUE"""),"tesla")</f>
        <v>tesla</v>
      </c>
      <c r="I11" s="146">
        <f>COUNTA(G7:G17)</f>
        <v>11</v>
      </c>
    </row>
    <row r="12">
      <c r="A12" s="136"/>
      <c r="B12" s="75" t="s">
        <v>96</v>
      </c>
      <c r="C12" s="134"/>
      <c r="D12" s="134">
        <f>IFERROR(__xludf.DUMMYFUNCTION("GOOGLEFINANCE(""TSLA"",""marketcap"")/1000000000"),1407.116030549)</f>
        <v>1407.116031</v>
      </c>
      <c r="E12" s="135">
        <f t="shared" si="2"/>
        <v>2.430504077</v>
      </c>
      <c r="G12" s="143" t="str">
        <f>IFERROR(__xludf.DUMMYFUNCTION("""COMPUTED_VALUE"""),"berkshire")</f>
        <v>berkshire</v>
      </c>
      <c r="I12" s="21"/>
    </row>
    <row r="13">
      <c r="B13" s="75" t="s">
        <v>97</v>
      </c>
      <c r="C13" s="138"/>
      <c r="D13" s="138">
        <f>IFERROR(__xludf.DUMMYFUNCTION("GOOGLEFINANCE(""HD"",""marketcap"")/1000000000"),382.047475794)</f>
        <v>382.0474758</v>
      </c>
      <c r="E13" s="135">
        <f t="shared" si="2"/>
        <v>0.6599085843</v>
      </c>
      <c r="G13" s="143" t="str">
        <f>IFERROR(__xludf.DUMMYFUNCTION("""COMPUTED_VALUE"""),"ely lilly")</f>
        <v>ely lilly</v>
      </c>
      <c r="I13" s="21"/>
    </row>
    <row r="14">
      <c r="A14" s="136"/>
      <c r="B14" s="75" t="s">
        <v>98</v>
      </c>
      <c r="C14" s="138"/>
      <c r="D14" s="138">
        <f>IFERROR(__xludf.DUMMYFUNCTION("GOOGLEFINANCE(""MCD"",""marketcap"")/1000000000"),220.233717275)</f>
        <v>220.2337173</v>
      </c>
      <c r="E14" s="135">
        <f t="shared" si="2"/>
        <v>0.380408535</v>
      </c>
      <c r="G14" s="143" t="str">
        <f>IFERROR(__xludf.DUMMYFUNCTION("""COMPUTED_VALUE"""),"nvidia")</f>
        <v>nvidia</v>
      </c>
      <c r="I14" s="21"/>
    </row>
    <row r="15">
      <c r="B15" s="75" t="s">
        <v>99</v>
      </c>
      <c r="C15" s="138"/>
      <c r="D15" s="138">
        <f>IFERROR(__xludf.DUMMYFUNCTION("GOOGLEFINANCE(""tjx"",""marketcap"")/1000000000"),170.167969179)</f>
        <v>170.1679692</v>
      </c>
      <c r="E15" s="135">
        <f t="shared" si="2"/>
        <v>0.2939302331</v>
      </c>
      <c r="G15" s="143" t="str">
        <f>IFERROR(__xludf.DUMMYFUNCTION("""COMPUTED_VALUE"""),"apple")</f>
        <v>apple</v>
      </c>
      <c r="I15" s="21"/>
    </row>
    <row r="16">
      <c r="B16" s="71"/>
      <c r="C16" s="138"/>
      <c r="D16" s="138"/>
      <c r="E16" s="145">
        <f>SUM(E11:E15)</f>
        <v>8.180875143</v>
      </c>
      <c r="G16" s="147" t="str">
        <f>IFERROR(__xludf.DUMMYFUNCTION("""COMPUTED_VALUE"""),"microsoft")</f>
        <v>microsoft</v>
      </c>
      <c r="H16" s="148"/>
      <c r="I16" s="149"/>
    </row>
    <row r="17">
      <c r="A17" s="150" t="s">
        <v>100</v>
      </c>
      <c r="B17" s="132" t="s">
        <v>101</v>
      </c>
      <c r="C17" s="138"/>
      <c r="D17" s="138"/>
      <c r="E17" s="135"/>
      <c r="G17" s="18" t="str">
        <f>IFERROR(__xludf.DUMMYFUNCTION("""COMPUTED_VALUE"""),"broadcom")</f>
        <v>broadcom</v>
      </c>
    </row>
    <row r="18">
      <c r="B18" s="151" t="s">
        <v>102</v>
      </c>
      <c r="C18" s="152"/>
      <c r="D18" s="152">
        <f>IFERROR(__xludf.DUMMYFUNCTION("GOOGLEFINANCE(""WMT"",""marketcap"")/1000000000"),938.327787665)</f>
        <v>938.3277877</v>
      </c>
      <c r="E18" s="135">
        <f t="shared" ref="E18:E22" si="3">(D18/$G$3)*100</f>
        <v>1.620768625</v>
      </c>
      <c r="G18" s="75"/>
    </row>
    <row r="19">
      <c r="A19" s="136"/>
      <c r="B19" s="151" t="s">
        <v>103</v>
      </c>
      <c r="C19" s="138"/>
      <c r="D19" s="138">
        <f>IFERROR(__xludf.DUMMYFUNCTION("GOOGLEFINANCE(""cost"",""marketcap"")/1000000000"),436.43458755)</f>
        <v>436.4345876</v>
      </c>
      <c r="E19" s="135">
        <f t="shared" si="3"/>
        <v>0.7538511548</v>
      </c>
    </row>
    <row r="20">
      <c r="B20" s="151" t="s">
        <v>104</v>
      </c>
      <c r="C20" s="152"/>
      <c r="D20" s="152">
        <f>IFERROR(__xludf.DUMMYFUNCTION("GOOGLEFINANCE(""PG"",""marketcap"")/1000000000"),350.860445687)</f>
        <v>350.8604457</v>
      </c>
      <c r="E20" s="135">
        <f t="shared" si="3"/>
        <v>0.6060393921</v>
      </c>
    </row>
    <row r="21">
      <c r="B21" s="151" t="s">
        <v>105</v>
      </c>
      <c r="C21" s="152"/>
      <c r="D21" s="152">
        <f>IFERROR(__xludf.DUMMYFUNCTION("GOOGLEFINANCE(""KO"",""marketcap"")/1000000000"),313.501179225)</f>
        <v>313.5011792</v>
      </c>
      <c r="E21" s="135">
        <f t="shared" si="3"/>
        <v>0.5415089288</v>
      </c>
    </row>
    <row r="22">
      <c r="B22" s="153" t="s">
        <v>106</v>
      </c>
      <c r="C22" s="152"/>
      <c r="D22" s="152">
        <f>IFERROR(__xludf.DUMMYFUNCTION("GOOGLEFINANCE(""pm"",""marketcap"")/1000000000"),269.32951341)</f>
        <v>269.3295134</v>
      </c>
      <c r="E22" s="135">
        <f t="shared" si="3"/>
        <v>0.465211444</v>
      </c>
    </row>
    <row r="23">
      <c r="C23" s="152"/>
      <c r="D23" s="152"/>
      <c r="E23" s="145">
        <f>SUM(E17:E22)</f>
        <v>3.987379545</v>
      </c>
    </row>
    <row r="24">
      <c r="A24" s="150" t="s">
        <v>107</v>
      </c>
      <c r="B24" s="154" t="s">
        <v>108</v>
      </c>
      <c r="C24" s="152"/>
      <c r="D24" s="152"/>
      <c r="E24" s="135"/>
    </row>
    <row r="25">
      <c r="B25" s="2" t="s">
        <v>109</v>
      </c>
      <c r="C25" s="152"/>
      <c r="D25" s="152">
        <f>IFERROR(__xludf.DUMMYFUNCTION("GOOGLEFINANCE(""XOM"",""marketcap"")/1000000000"),569.190765197)</f>
        <v>569.1907652</v>
      </c>
      <c r="E25" s="135">
        <f t="shared" ref="E25:E29" si="4">(D25/$G$3)*100</f>
        <v>0.9831601983</v>
      </c>
    </row>
    <row r="26">
      <c r="A26" s="155"/>
      <c r="B26" s="2" t="s">
        <v>110</v>
      </c>
      <c r="C26" s="152"/>
      <c r="D26" s="152">
        <f>IFERROR(__xludf.DUMMYFUNCTION("GOOGLEFINANCE(""CVX"",""marketcap"")/1000000000"),335.694223577)</f>
        <v>335.6942236</v>
      </c>
      <c r="E26" s="135">
        <f t="shared" si="4"/>
        <v>0.5798428569</v>
      </c>
    </row>
    <row r="27">
      <c r="A27" s="156"/>
      <c r="B27" s="2" t="s">
        <v>111</v>
      </c>
      <c r="C27" s="152"/>
      <c r="D27" s="152">
        <f>IFERROR(__xludf.DUMMYFUNCTION("GOOGLEFINANCE(""COP"",""marketcap"")/1000000000"),121.532863414)</f>
        <v>121.5328634</v>
      </c>
      <c r="E27" s="135">
        <f t="shared" si="4"/>
        <v>0.2099230722</v>
      </c>
    </row>
    <row r="28">
      <c r="B28" s="2" t="s">
        <v>112</v>
      </c>
      <c r="C28" s="152"/>
      <c r="D28" s="152">
        <f>IFERROR(__xludf.DUMMYFUNCTION("GOOGLEFINANCE(""wmb"",""marketcap"")/1000000000"),79.330320161)</f>
        <v>79.33032016</v>
      </c>
      <c r="E28" s="135">
        <f t="shared" si="4"/>
        <v>0.1370268424</v>
      </c>
    </row>
    <row r="29">
      <c r="B29" s="2" t="s">
        <v>113</v>
      </c>
      <c r="C29" s="152"/>
      <c r="D29" s="152">
        <f>IFERROR(__xludf.DUMMYFUNCTION("GOOGLEFINANCE(""mpc"",""marketcap"")/1000000000"),52.719650379)</f>
        <v>52.71965038</v>
      </c>
      <c r="E29" s="135">
        <f t="shared" si="4"/>
        <v>0.09106237327</v>
      </c>
    </row>
    <row r="30">
      <c r="C30" s="152"/>
      <c r="D30" s="152"/>
      <c r="E30" s="145">
        <f>SUM(E25:E29)</f>
        <v>2.001015343</v>
      </c>
    </row>
    <row r="31">
      <c r="A31" s="150" t="s">
        <v>114</v>
      </c>
      <c r="B31" s="154" t="s">
        <v>115</v>
      </c>
      <c r="C31" s="152"/>
      <c r="D31" s="152"/>
      <c r="E31" s="135"/>
    </row>
    <row r="32">
      <c r="B32" s="2" t="s">
        <v>116</v>
      </c>
      <c r="C32" s="152"/>
      <c r="D32" s="152">
        <f>IFERROR(__xludf.DUMMYFUNCTION("GOOGLEFINANCE(""BRK.B"",""marketcap"")/1000000000"),1037.347882729)</f>
        <v>1037.347883</v>
      </c>
      <c r="E32" s="135">
        <f t="shared" ref="E32:E36" si="5">(D32/$G$3)*100</f>
        <v>1.791805511</v>
      </c>
      <c r="M32" s="157"/>
    </row>
    <row r="33">
      <c r="B33" s="2" t="s">
        <v>117</v>
      </c>
      <c r="C33" s="152"/>
      <c r="D33" s="152">
        <f>IFERROR(__xludf.DUMMYFUNCTION("GOOGLEFINANCE(""JPM"",""marketcap"")/1000000000"),818.656466516)</f>
        <v>818.6564665</v>
      </c>
      <c r="E33" s="135">
        <f t="shared" si="5"/>
        <v>1.414060985</v>
      </c>
    </row>
    <row r="34">
      <c r="B34" s="2" t="s">
        <v>118</v>
      </c>
      <c r="C34" s="152"/>
      <c r="D34" s="152">
        <f>IFERROR(__xludf.DUMMYFUNCTION("GOOGLEFINANCE(""V"",""marketcap"")/1000000000"),623.733450654)</f>
        <v>623.7334507</v>
      </c>
      <c r="E34" s="135">
        <f t="shared" si="5"/>
        <v>1.07737149</v>
      </c>
    </row>
    <row r="35">
      <c r="B35" s="2" t="s">
        <v>119</v>
      </c>
      <c r="C35" s="152"/>
      <c r="D35" s="152">
        <f>IFERROR(__xludf.DUMMYFUNCTION("GOOGLEFINANCE(""MA"",""marketcap"")/1000000000"),471.214359796)</f>
        <v>471.2143598</v>
      </c>
      <c r="E35" s="135">
        <f t="shared" si="5"/>
        <v>0.8139260714</v>
      </c>
    </row>
    <row r="36">
      <c r="B36" s="2" t="s">
        <v>120</v>
      </c>
      <c r="C36" s="152"/>
      <c r="D36" s="152">
        <f>IFERROR(__xludf.DUMMYFUNCTION("GOOGLEFINANCE(""BAC"",""marketcap"")/1000000000"),373.028698604)</f>
        <v>373.0286986</v>
      </c>
      <c r="E36" s="135">
        <f t="shared" si="5"/>
        <v>0.6443304982</v>
      </c>
      <c r="F36" s="84"/>
      <c r="G36" s="84"/>
      <c r="H36" s="84"/>
      <c r="I36" s="152"/>
      <c r="J36" s="135"/>
      <c r="L36" s="84"/>
      <c r="M36" s="84"/>
      <c r="N36" s="84"/>
      <c r="O36" s="84"/>
    </row>
    <row r="37">
      <c r="C37" s="152"/>
      <c r="D37" s="152"/>
      <c r="E37" s="145">
        <f>SUM(E32:E36)</f>
        <v>5.741494556</v>
      </c>
      <c r="F37" s="84"/>
      <c r="G37" s="84"/>
      <c r="H37" s="84"/>
      <c r="I37" s="158"/>
      <c r="L37" s="95"/>
      <c r="M37" s="95"/>
      <c r="N37" s="95"/>
      <c r="O37" s="158"/>
    </row>
    <row r="38">
      <c r="A38" s="150" t="s">
        <v>121</v>
      </c>
      <c r="B38" s="154" t="s">
        <v>122</v>
      </c>
      <c r="C38" s="152"/>
      <c r="D38" s="152"/>
      <c r="E38" s="135"/>
      <c r="F38" s="84"/>
      <c r="G38" s="84"/>
      <c r="H38" s="84"/>
      <c r="I38" s="158"/>
      <c r="J38" s="95"/>
      <c r="K38" s="95"/>
      <c r="L38" s="95"/>
      <c r="M38" s="95"/>
      <c r="N38" s="95"/>
      <c r="O38" s="95"/>
    </row>
    <row r="39">
      <c r="B39" s="2" t="s">
        <v>123</v>
      </c>
      <c r="C39" s="152"/>
      <c r="D39" s="152">
        <f>IFERROR(__xludf.DUMMYFUNCTION("GOOGLEFINANCE(""LLY"",""marketcap"")/1000000000"),1006.162029286)</f>
        <v>1006.162029</v>
      </c>
      <c r="E39" s="135">
        <f t="shared" ref="E39:E43" si="6">(D39/$G$3)*100</f>
        <v>1.737938352</v>
      </c>
      <c r="F39" s="84"/>
      <c r="G39" s="84"/>
      <c r="H39" s="84"/>
      <c r="I39" s="158"/>
      <c r="J39" s="95"/>
      <c r="K39" s="95"/>
      <c r="L39" s="95"/>
      <c r="M39" s="95"/>
      <c r="N39" s="95"/>
      <c r="O39" s="158"/>
    </row>
    <row r="40">
      <c r="B40" s="2" t="s">
        <v>124</v>
      </c>
      <c r="C40" s="152"/>
      <c r="D40" s="152">
        <f>IFERROR(__xludf.DUMMYFUNCTION("GOOGLEFINANCE(""JNJ"",""marketcap"")/1000000000"),530.382199829)</f>
        <v>530.3821998</v>
      </c>
      <c r="E40" s="135">
        <f t="shared" si="6"/>
        <v>0.9161263686</v>
      </c>
      <c r="F40" s="84"/>
      <c r="G40" s="84"/>
      <c r="H40" s="84"/>
      <c r="I40" s="158"/>
      <c r="J40" s="95"/>
      <c r="K40" s="95"/>
      <c r="L40" s="95"/>
      <c r="M40" s="95"/>
      <c r="N40" s="158"/>
      <c r="O40" s="95"/>
    </row>
    <row r="41">
      <c r="B41" s="2" t="s">
        <v>125</v>
      </c>
      <c r="C41" s="152"/>
      <c r="D41" s="152">
        <f>IFERROR(__xludf.DUMMYFUNCTION("GOOGLEFINANCE(""ABBV"",""marketcap"")/1000000000"),387.516606131)</f>
        <v>387.5166061</v>
      </c>
      <c r="E41" s="135">
        <f t="shared" si="6"/>
        <v>0.6693553842</v>
      </c>
      <c r="F41" s="84"/>
      <c r="G41" s="84"/>
      <c r="H41" s="84"/>
      <c r="I41" s="95"/>
      <c r="J41" s="95"/>
      <c r="K41" s="95"/>
      <c r="L41" s="95"/>
      <c r="M41" s="95"/>
      <c r="N41" s="95"/>
      <c r="O41" s="95"/>
    </row>
    <row r="42">
      <c r="A42" s="159"/>
      <c r="B42" s="2" t="s">
        <v>126</v>
      </c>
      <c r="C42" s="152"/>
      <c r="D42" s="152">
        <f>IFERROR(__xludf.DUMMYFUNCTION("GOOGLEFINANCE(""UNH"",""marketcap"")/1000000000"),322.714032856)</f>
        <v>322.7140329</v>
      </c>
      <c r="E42" s="135">
        <f t="shared" si="6"/>
        <v>0.5574222421</v>
      </c>
      <c r="F42" s="84"/>
      <c r="G42" s="84"/>
      <c r="H42" s="84"/>
      <c r="I42" s="158"/>
      <c r="J42" s="95"/>
      <c r="K42" s="95"/>
      <c r="L42" s="95"/>
      <c r="M42" s="95"/>
      <c r="N42" s="95"/>
      <c r="O42" s="158"/>
    </row>
    <row r="43">
      <c r="B43" s="2" t="s">
        <v>127</v>
      </c>
      <c r="C43" s="152"/>
      <c r="D43" s="152">
        <f>IFERROR(__xludf.DUMMYFUNCTION("GOOGLEFINANCE(""mrk"",""marketcap"")/1000000000"),268.505140717)</f>
        <v>268.5051407</v>
      </c>
      <c r="E43" s="135">
        <f t="shared" si="6"/>
        <v>0.4637875094</v>
      </c>
      <c r="F43" s="160" t="s">
        <v>128</v>
      </c>
      <c r="G43" s="84"/>
      <c r="H43" s="84"/>
      <c r="I43" s="95"/>
      <c r="J43" s="95"/>
      <c r="K43" s="95"/>
      <c r="L43" s="95"/>
      <c r="M43" s="95"/>
      <c r="N43" s="95"/>
      <c r="O43" s="95"/>
    </row>
    <row r="44">
      <c r="C44" s="152"/>
      <c r="D44" s="152"/>
      <c r="E44" s="145">
        <f>SUM(E39:E43)</f>
        <v>4.344629856</v>
      </c>
      <c r="F44" s="84"/>
      <c r="G44" s="84"/>
      <c r="H44" s="84"/>
      <c r="I44" s="158"/>
      <c r="K44" s="95"/>
      <c r="L44" s="95"/>
      <c r="M44" s="95"/>
      <c r="N44" s="95"/>
      <c r="O44" s="158"/>
    </row>
    <row r="45">
      <c r="A45" s="150" t="s">
        <v>129</v>
      </c>
      <c r="B45" s="154" t="s">
        <v>130</v>
      </c>
      <c r="C45" s="152"/>
      <c r="D45" s="152"/>
      <c r="E45" s="135"/>
      <c r="F45" s="84"/>
      <c r="G45" s="84"/>
      <c r="H45" s="84"/>
      <c r="I45" s="158"/>
      <c r="J45" s="158"/>
      <c r="K45" s="95"/>
      <c r="L45" s="95"/>
      <c r="M45" s="95"/>
      <c r="N45" s="95"/>
      <c r="O45" s="158"/>
    </row>
    <row r="46">
      <c r="B46" s="2" t="s">
        <v>131</v>
      </c>
      <c r="C46" s="152"/>
      <c r="D46" s="152">
        <f>IFERROR(__xludf.DUMMYFUNCTION("GOOGLEFINANCE(""GE"",""marketcap"")/1000000000"),309.977891159)</f>
        <v>309.9778912</v>
      </c>
      <c r="E46" s="135">
        <f t="shared" ref="E46:E50" si="7">(D46/$G$3)*100</f>
        <v>0.5354231719</v>
      </c>
      <c r="F46" s="84"/>
      <c r="G46" s="84"/>
      <c r="H46" s="84"/>
      <c r="I46" s="158"/>
      <c r="J46" s="158"/>
      <c r="K46" s="95"/>
      <c r="L46" s="95"/>
      <c r="M46" s="95"/>
      <c r="N46" s="158"/>
      <c r="O46" s="158"/>
    </row>
    <row r="47">
      <c r="B47" s="2" t="s">
        <v>132</v>
      </c>
      <c r="C47" s="152"/>
      <c r="D47" s="152">
        <f>IFERROR(__xludf.DUMMYFUNCTION("GOOGLEFINANCE(""CAT"",""marketcap"")/1000000000"),293.245374666)</f>
        <v>293.2453747</v>
      </c>
      <c r="E47" s="135">
        <f t="shared" si="7"/>
        <v>0.5065211847</v>
      </c>
      <c r="F47" s="84"/>
      <c r="G47" s="84"/>
      <c r="H47" s="84"/>
      <c r="I47" s="95"/>
      <c r="J47" s="95"/>
      <c r="K47" s="95"/>
      <c r="L47" s="95"/>
      <c r="M47" s="95"/>
      <c r="N47" s="158"/>
      <c r="O47" s="158"/>
    </row>
    <row r="48">
      <c r="B48" s="2" t="s">
        <v>133</v>
      </c>
      <c r="C48" s="152"/>
      <c r="D48" s="152">
        <f>IFERROR(__xludf.DUMMYFUNCTION("GOOGLEFINANCE(""rtx"",""marketcap"")/1000000000"),262.697448139)</f>
        <v>262.6974481</v>
      </c>
      <c r="E48" s="135">
        <f t="shared" si="7"/>
        <v>0.4537559128</v>
      </c>
    </row>
    <row r="49">
      <c r="B49" s="2" t="s">
        <v>134</v>
      </c>
      <c r="C49" s="152"/>
      <c r="D49" s="152">
        <f>IFERROR(__xludf.DUMMYFUNCTION("GOOGLEFINANCE(""UBER"",""marketcap"")/1000000000"),171.026182227)</f>
        <v>171.0261822</v>
      </c>
      <c r="E49" s="135">
        <f t="shared" si="7"/>
        <v>0.29541262</v>
      </c>
    </row>
    <row r="50">
      <c r="A50" s="159"/>
      <c r="B50" s="2" t="s">
        <v>135</v>
      </c>
      <c r="C50" s="152"/>
      <c r="D50" s="152">
        <f>IFERROR(__xludf.DUMMYFUNCTION("GOOGLEFINANCE(B50,""marketcap"")/1000000000"),178.46914066)</f>
        <v>178.4691407</v>
      </c>
      <c r="E50" s="135">
        <f t="shared" si="7"/>
        <v>0.3082688027</v>
      </c>
    </row>
    <row r="51">
      <c r="C51" s="152"/>
      <c r="D51" s="152"/>
      <c r="E51" s="145">
        <f>SUM(E46:E50)</f>
        <v>2.099381692</v>
      </c>
    </row>
    <row r="52">
      <c r="A52" s="150" t="s">
        <v>136</v>
      </c>
      <c r="B52" s="154" t="s">
        <v>137</v>
      </c>
      <c r="C52" s="152"/>
      <c r="D52" s="152"/>
      <c r="E52" s="135"/>
    </row>
    <row r="53">
      <c r="B53" s="2" t="s">
        <v>138</v>
      </c>
      <c r="C53" s="152"/>
      <c r="D53" s="152">
        <f>IFERROR(__xludf.DUMMYFUNCTION("GOOGLEFINANCE(""LIN"",""marketcap"")/1000000000"),210.860073036)</f>
        <v>210.860073</v>
      </c>
      <c r="E53" s="135">
        <f t="shared" ref="E53:E57" si="8">(D53/$G$3)*100</f>
        <v>0.3642174889</v>
      </c>
    </row>
    <row r="54">
      <c r="B54" s="2" t="s">
        <v>139</v>
      </c>
      <c r="C54" s="152"/>
      <c r="D54" s="152">
        <f>IFERROR(__xludf.DUMMYFUNCTION("GOOGLEFINANCE(""SHW"",""marketcap"")/1000000000"),86.395839896)</f>
        <v>86.3958399</v>
      </c>
      <c r="E54" s="135">
        <f t="shared" si="8"/>
        <v>0.1492310773</v>
      </c>
    </row>
    <row r="55">
      <c r="B55" s="2" t="s">
        <v>140</v>
      </c>
      <c r="C55" s="152"/>
      <c r="D55" s="152">
        <f>IFERROR(__xludf.DUMMYFUNCTION("GOOGLEFINANCE(""nem"",""marketcap"")/1000000000"),135.654900865)</f>
        <v>135.6549009</v>
      </c>
      <c r="E55" s="135">
        <f t="shared" si="8"/>
        <v>0.2343159928</v>
      </c>
    </row>
    <row r="56">
      <c r="B56" s="2" t="s">
        <v>141</v>
      </c>
      <c r="C56" s="152"/>
      <c r="D56" s="152">
        <f>IFERROR(__xludf.DUMMYFUNCTION("GOOGLEFINANCE(""ecl"",""marketcap"")/1000000000"),79.844113911)</f>
        <v>79.84411391</v>
      </c>
      <c r="E56" s="135">
        <f t="shared" si="8"/>
        <v>0.1379143157</v>
      </c>
    </row>
    <row r="57">
      <c r="B57" s="2" t="s">
        <v>142</v>
      </c>
      <c r="C57" s="152"/>
      <c r="D57" s="152">
        <f>IFERROR(__xludf.DUMMYFUNCTION("GOOGLEFINANCE(""NUE"",""marketcap"")/1000000000"),41.572163293)</f>
        <v>41.57216329</v>
      </c>
      <c r="E57" s="135">
        <f t="shared" si="8"/>
        <v>0.07180737778</v>
      </c>
    </row>
    <row r="58">
      <c r="C58" s="152"/>
      <c r="D58" s="152"/>
      <c r="E58" s="145">
        <f>SUM(E53:E57)</f>
        <v>0.9574862525</v>
      </c>
      <c r="I58" s="161"/>
    </row>
    <row r="59">
      <c r="A59" s="150" t="s">
        <v>143</v>
      </c>
      <c r="B59" s="154" t="s">
        <v>144</v>
      </c>
      <c r="C59" s="152"/>
      <c r="D59" s="152"/>
      <c r="E59" s="135"/>
    </row>
    <row r="60">
      <c r="B60" s="2" t="s">
        <v>145</v>
      </c>
      <c r="C60" s="152"/>
      <c r="D60" s="152">
        <f>IFERROR(__xludf.DUMMYFUNCTION("GOOGLEFINANCE(""WELL"",""marketcap"")/1000000000"),126.064777117)</f>
        <v>126.0647771</v>
      </c>
      <c r="E60" s="135">
        <f t="shared" ref="E60:E64" si="9">(D60/$G$3)*100</f>
        <v>0.2177510228</v>
      </c>
    </row>
    <row r="61">
      <c r="B61" s="2" t="s">
        <v>146</v>
      </c>
      <c r="C61" s="152"/>
      <c r="D61" s="152">
        <f>IFERROR(__xludf.DUMMYFUNCTION("GOOGLEFINANCE(""PLD"",""marketcap"")/1000000000"),118.105453182)</f>
        <v>118.1054532</v>
      </c>
      <c r="E61" s="135">
        <f t="shared" si="9"/>
        <v>0.2040029246</v>
      </c>
    </row>
    <row r="62">
      <c r="B62" s="2" t="s">
        <v>147</v>
      </c>
      <c r="C62" s="152"/>
      <c r="D62" s="152">
        <f>IFERROR(__xludf.DUMMYFUNCTION("GOOGLEFINANCE(""AMT"",""marketcap"")/1000000000"),83.68120475)</f>
        <v>83.68120475</v>
      </c>
      <c r="E62" s="135">
        <f t="shared" si="9"/>
        <v>0.1445421024</v>
      </c>
    </row>
    <row r="63">
      <c r="B63" s="2" t="s">
        <v>148</v>
      </c>
      <c r="C63" s="152"/>
      <c r="D63" s="152">
        <f>IFERROR(__xludf.DUMMYFUNCTION("GOOGLEFINANCE(""EQIX"",""marketcap"")/1000000000"),77.691693526)</f>
        <v>77.69169353</v>
      </c>
      <c r="E63" s="135">
        <f t="shared" si="9"/>
        <v>0.1341964513</v>
      </c>
      <c r="G63" s="162"/>
      <c r="H63" s="163"/>
      <c r="I63" s="164"/>
    </row>
    <row r="64">
      <c r="A64" s="165"/>
      <c r="B64" s="2" t="s">
        <v>149</v>
      </c>
      <c r="C64" s="152"/>
      <c r="D64" s="152">
        <f>IFERROR(__xludf.DUMMYFUNCTION("GOOGLEFINANCE(""spg"",""marketcap"")/1000000000"),60.308801705)</f>
        <v>60.30880171</v>
      </c>
      <c r="E64" s="135">
        <f t="shared" si="9"/>
        <v>0.1041710742</v>
      </c>
    </row>
    <row r="65">
      <c r="C65" s="152"/>
      <c r="D65" s="152"/>
      <c r="E65" s="145">
        <f>SUM(E60:E64)</f>
        <v>0.8046635753</v>
      </c>
    </row>
    <row r="66">
      <c r="A66" s="166" t="s">
        <v>150</v>
      </c>
      <c r="B66" s="154" t="s">
        <v>151</v>
      </c>
      <c r="C66" s="152"/>
      <c r="D66" s="152"/>
      <c r="E66" s="135"/>
    </row>
    <row r="67">
      <c r="B67" s="2" t="s">
        <v>152</v>
      </c>
      <c r="C67" s="152"/>
      <c r="D67" s="152">
        <f>IFERROR(__xludf.DUMMYFUNCTION("GOOGLEFINANCE(""NVDA"",""marketcap"")/1000000000"),4560.380955505)</f>
        <v>4560.380956</v>
      </c>
      <c r="E67" s="135">
        <f t="shared" ref="E67:E71" si="10">(D67/$G$3)*100</f>
        <v>7.877121905</v>
      </c>
    </row>
    <row r="68">
      <c r="B68" s="2" t="s">
        <v>153</v>
      </c>
      <c r="C68" s="152"/>
      <c r="D68" s="152">
        <f>IFERROR(__xludf.DUMMYFUNCTION("GOOGLEFINANCE(""AAPL"",""marketcap"")/1000000000"),3645.67197812)</f>
        <v>3645.671978</v>
      </c>
      <c r="E68" s="135">
        <f t="shared" si="10"/>
        <v>6.297149926</v>
      </c>
    </row>
    <row r="69">
      <c r="B69" s="2" t="s">
        <v>154</v>
      </c>
      <c r="C69" s="152"/>
      <c r="D69" s="152">
        <f>IFERROR(__xludf.DUMMYFUNCTION("GOOGLEFINANCE(""MSFT"",""marketcap"")/1000000000"),3463.116153877)</f>
        <v>3463.116154</v>
      </c>
      <c r="E69" s="135">
        <f t="shared" si="10"/>
        <v>5.981822216</v>
      </c>
    </row>
    <row r="70">
      <c r="B70" s="2" t="s">
        <v>155</v>
      </c>
      <c r="C70" s="152"/>
      <c r="D70" s="152">
        <f>IFERROR(__xludf.DUMMYFUNCTION("GOOGLEFINANCE(""AVGO"",""marketcap"")/1000000000"),1517.444365773)</f>
        <v>1517.444366</v>
      </c>
      <c r="E70" s="135">
        <f t="shared" si="10"/>
        <v>2.621073627</v>
      </c>
    </row>
    <row r="71">
      <c r="A71" s="167"/>
      <c r="B71" s="2" t="s">
        <v>156</v>
      </c>
      <c r="C71" s="152"/>
      <c r="D71" s="152">
        <f>IFERROR(__xludf.DUMMYFUNCTION("GOOGLEFINANCE(""pltr"",""marketcap"")/1000000000"),404.060142541)</f>
        <v>404.0601425</v>
      </c>
      <c r="E71" s="135">
        <f t="shared" si="10"/>
        <v>0.6979309471</v>
      </c>
    </row>
    <row r="72">
      <c r="C72" s="152"/>
      <c r="D72" s="152"/>
      <c r="E72" s="145">
        <f>SUM(E68:E71)</f>
        <v>15.59797672</v>
      </c>
    </row>
    <row r="73">
      <c r="A73" s="166" t="s">
        <v>157</v>
      </c>
      <c r="B73" s="154" t="s">
        <v>158</v>
      </c>
      <c r="C73" s="152"/>
      <c r="D73" s="152"/>
      <c r="E73" s="135"/>
    </row>
    <row r="74">
      <c r="B74" s="2" t="s">
        <v>159</v>
      </c>
      <c r="C74" s="152"/>
      <c r="D74" s="152">
        <f>IFERROR(__xludf.DUMMYFUNCTION("GOOGLEFINANCE(""NEE"",""marketcap"")/1000000000"),176.626064205)</f>
        <v>176.6260642</v>
      </c>
      <c r="E74" s="135">
        <f t="shared" ref="E74:E78" si="11">(D74/$G$3)*100</f>
        <v>0.3050852665</v>
      </c>
    </row>
    <row r="75">
      <c r="B75" s="2" t="s">
        <v>160</v>
      </c>
      <c r="C75" s="152"/>
      <c r="D75" s="152">
        <f>IFERROR(__xludf.DUMMYFUNCTION("GOOGLEFINANCE(""CEG"",""marketcap"")/1000000000"),90.236199312)</f>
        <v>90.23619931</v>
      </c>
      <c r="E75" s="135">
        <f t="shared" si="11"/>
        <v>0.1558645098</v>
      </c>
    </row>
    <row r="76">
      <c r="B76" s="2" t="s">
        <v>161</v>
      </c>
      <c r="C76" s="152"/>
      <c r="D76" s="152">
        <f>IFERROR(__xludf.DUMMYFUNCTION("GOOGLEFINANCE(""SO"",""marketcap"")/1000000000"),96.390645168)</f>
        <v>96.39064517</v>
      </c>
      <c r="E76" s="135">
        <f t="shared" si="11"/>
        <v>0.1664950516</v>
      </c>
    </row>
    <row r="77">
      <c r="B77" s="2" t="s">
        <v>162</v>
      </c>
      <c r="C77" s="152"/>
      <c r="D77" s="152">
        <f>IFERROR(__xludf.DUMMYFUNCTION("GOOGLEFINANCE(""DUK"",""marketcap"")/1000000000"),91.320754953)</f>
        <v>91.32075495</v>
      </c>
      <c r="E77" s="135">
        <f t="shared" si="11"/>
        <v>0.157737857</v>
      </c>
    </row>
    <row r="78">
      <c r="A78" s="168"/>
      <c r="B78" s="2" t="s">
        <v>163</v>
      </c>
      <c r="C78" s="152"/>
      <c r="D78" s="152">
        <f>IFERROR(__xludf.DUMMYFUNCTION("GOOGLEFINANCE(""aep"",""marketcap"")/1000000000"),62.291440068)</f>
        <v>62.29144007</v>
      </c>
      <c r="E78" s="135">
        <f t="shared" si="11"/>
        <v>0.107595675</v>
      </c>
    </row>
    <row r="79">
      <c r="C79" s="152"/>
      <c r="D79" s="152"/>
      <c r="E79" s="145">
        <f>SUM(E74:E78)</f>
        <v>0.8927783599</v>
      </c>
    </row>
    <row r="81">
      <c r="B81" s="2" t="s">
        <v>164</v>
      </c>
      <c r="K81" s="2" t="s">
        <v>165</v>
      </c>
    </row>
    <row r="82">
      <c r="C82" s="152"/>
      <c r="D82" s="152"/>
      <c r="E82" s="135"/>
      <c r="J82" s="169" t="s">
        <v>166</v>
      </c>
      <c r="K82" s="170">
        <f>5823/196.76</f>
        <v>29.59442976</v>
      </c>
    </row>
    <row r="83">
      <c r="A83" s="171"/>
      <c r="B83" s="172" t="s">
        <v>167</v>
      </c>
      <c r="C83" s="173"/>
      <c r="D83" s="173"/>
      <c r="E83" s="174"/>
      <c r="F83" s="171"/>
      <c r="G83" s="171"/>
      <c r="J83" s="175" t="s">
        <v>168</v>
      </c>
      <c r="K83" s="171"/>
      <c r="L83" s="171"/>
      <c r="M83" s="172" t="s">
        <v>169</v>
      </c>
      <c r="N83" s="171"/>
    </row>
    <row r="84">
      <c r="A84" s="175" t="s">
        <v>170</v>
      </c>
      <c r="B84" s="171"/>
      <c r="C84" s="173"/>
      <c r="D84" s="173"/>
      <c r="E84" s="174">
        <f>SUM(E9,E16,E23,E30,E37,E51,E58,E65,E72,E79)</f>
        <v>57.60898686</v>
      </c>
      <c r="F84" s="175" t="s">
        <v>171</v>
      </c>
      <c r="G84" s="171"/>
      <c r="H84" s="176" t="s">
        <v>172</v>
      </c>
      <c r="J84" s="177" t="s">
        <v>173</v>
      </c>
      <c r="K84" s="178">
        <f>5732/267</f>
        <v>21.46816479</v>
      </c>
      <c r="L84" s="178">
        <f>5733/241</f>
        <v>23.78838174</v>
      </c>
      <c r="M84" s="171"/>
      <c r="N84" s="171"/>
    </row>
    <row r="85">
      <c r="A85" s="160" t="s">
        <v>174</v>
      </c>
      <c r="C85" s="152"/>
      <c r="D85" s="152"/>
      <c r="E85" s="2" t="s">
        <v>175</v>
      </c>
    </row>
    <row r="86">
      <c r="A86" s="179" t="s">
        <v>176</v>
      </c>
      <c r="B86" s="179" t="s">
        <v>177</v>
      </c>
      <c r="C86" s="180"/>
      <c r="D86" s="180" t="s">
        <v>178</v>
      </c>
      <c r="E86" s="181" t="s">
        <v>179</v>
      </c>
      <c r="F86" s="179" t="s">
        <v>180</v>
      </c>
      <c r="G86" s="179" t="s">
        <v>181</v>
      </c>
      <c r="H86" s="182" t="s">
        <v>182</v>
      </c>
      <c r="I86" s="182" t="s">
        <v>183</v>
      </c>
    </row>
    <row r="87">
      <c r="A87" s="183">
        <v>2024.0</v>
      </c>
      <c r="B87" s="183" t="s">
        <v>184</v>
      </c>
      <c r="C87" s="184"/>
      <c r="D87" s="184">
        <v>6090.27</v>
      </c>
      <c r="E87" s="184">
        <v>4688.68</v>
      </c>
      <c r="F87" s="184">
        <v>5823.0</v>
      </c>
      <c r="G87" s="185" t="s">
        <v>185</v>
      </c>
      <c r="H87" s="152">
        <f t="shared" ref="H87:H113" si="12">D87-E87</f>
        <v>1401.59</v>
      </c>
      <c r="I87" s="20">
        <f t="shared" ref="I87:I112" si="13">H87/D87</f>
        <v>0.2301359381</v>
      </c>
      <c r="K87" s="186" t="s">
        <v>186</v>
      </c>
      <c r="L87" s="187"/>
      <c r="M87" s="187"/>
      <c r="N87" s="188"/>
    </row>
    <row r="88">
      <c r="A88" s="183">
        <v>2023.0</v>
      </c>
      <c r="B88" s="183" t="s">
        <v>187</v>
      </c>
      <c r="C88" s="184"/>
      <c r="D88" s="184">
        <v>4783.35</v>
      </c>
      <c r="E88" s="184">
        <v>3808.1</v>
      </c>
      <c r="F88" s="184" t="s">
        <v>188</v>
      </c>
      <c r="G88" s="185" t="s">
        <v>189</v>
      </c>
      <c r="H88" s="152">
        <f t="shared" si="12"/>
        <v>975.25</v>
      </c>
      <c r="I88" s="20">
        <f t="shared" si="13"/>
        <v>0.203884307</v>
      </c>
      <c r="K88" s="189" t="s">
        <v>190</v>
      </c>
      <c r="L88" s="190" t="s">
        <v>191</v>
      </c>
      <c r="M88" s="191" t="s">
        <v>190</v>
      </c>
      <c r="N88" s="192" t="s">
        <v>191</v>
      </c>
    </row>
    <row r="89">
      <c r="A89" s="183">
        <v>2022.0</v>
      </c>
      <c r="B89" s="183" t="s">
        <v>192</v>
      </c>
      <c r="C89" s="184"/>
      <c r="D89" s="184">
        <v>4796.56</v>
      </c>
      <c r="E89" s="184">
        <v>3577.03</v>
      </c>
      <c r="F89" s="184" t="s">
        <v>193</v>
      </c>
      <c r="G89" s="193" t="s">
        <v>194</v>
      </c>
      <c r="H89" s="152">
        <f t="shared" si="12"/>
        <v>1219.53</v>
      </c>
      <c r="I89" s="20">
        <f t="shared" si="13"/>
        <v>0.2542509632</v>
      </c>
      <c r="K89" s="194" t="s">
        <v>195</v>
      </c>
      <c r="L89" s="195">
        <v>29.653</v>
      </c>
      <c r="N89" s="196"/>
    </row>
    <row r="90">
      <c r="A90" s="183">
        <v>2021.0</v>
      </c>
      <c r="B90" s="183" t="s">
        <v>196</v>
      </c>
      <c r="C90" s="184"/>
      <c r="D90" s="184">
        <v>4793.03</v>
      </c>
      <c r="E90" s="184">
        <v>3700.65</v>
      </c>
      <c r="F90" s="184" t="s">
        <v>197</v>
      </c>
      <c r="G90" s="185" t="s">
        <v>198</v>
      </c>
      <c r="H90" s="152">
        <f t="shared" si="12"/>
        <v>1092.38</v>
      </c>
      <c r="I90" s="20">
        <f t="shared" si="13"/>
        <v>0.2279101111</v>
      </c>
      <c r="K90" s="197" t="s">
        <v>199</v>
      </c>
      <c r="L90" s="198">
        <v>1.15625</v>
      </c>
      <c r="M90" s="199" t="s">
        <v>200</v>
      </c>
      <c r="N90" s="200">
        <v>1.0229166666666667</v>
      </c>
    </row>
    <row r="91">
      <c r="A91" s="183">
        <v>2020.0</v>
      </c>
      <c r="B91" s="183" t="s">
        <v>201</v>
      </c>
      <c r="C91" s="184"/>
      <c r="D91" s="184">
        <v>3756.07</v>
      </c>
      <c r="E91" s="184">
        <v>2237.4</v>
      </c>
      <c r="F91" s="184" t="s">
        <v>202</v>
      </c>
      <c r="G91" s="185" t="s">
        <v>203</v>
      </c>
      <c r="H91" s="152">
        <f t="shared" si="12"/>
        <v>1518.67</v>
      </c>
      <c r="I91" s="20">
        <f t="shared" si="13"/>
        <v>0.4043242006</v>
      </c>
      <c r="K91" s="197" t="s">
        <v>204</v>
      </c>
      <c r="L91" s="198">
        <v>1.054861111111111</v>
      </c>
      <c r="M91" s="199" t="s">
        <v>205</v>
      </c>
      <c r="N91" s="201">
        <v>0.9951388888888889</v>
      </c>
    </row>
    <row r="92">
      <c r="A92" s="183">
        <v>2019.0</v>
      </c>
      <c r="B92" s="183" t="s">
        <v>206</v>
      </c>
      <c r="C92" s="184"/>
      <c r="D92" s="184">
        <v>3240.02</v>
      </c>
      <c r="E92" s="184">
        <v>2247.89</v>
      </c>
      <c r="F92" s="184" t="s">
        <v>207</v>
      </c>
      <c r="G92" s="185" t="s">
        <v>208</v>
      </c>
      <c r="H92" s="152">
        <f t="shared" si="12"/>
        <v>992.13</v>
      </c>
      <c r="I92" s="20">
        <f t="shared" si="13"/>
        <v>0.3062110728</v>
      </c>
      <c r="K92" s="197" t="s">
        <v>209</v>
      </c>
      <c r="L92" s="202">
        <v>0.9770833333333333</v>
      </c>
      <c r="M92" s="199" t="s">
        <v>210</v>
      </c>
      <c r="N92" s="201">
        <v>0.9791666666666666</v>
      </c>
    </row>
    <row r="93">
      <c r="A93" s="183">
        <v>2018.0</v>
      </c>
      <c r="B93" s="183" t="s">
        <v>211</v>
      </c>
      <c r="C93" s="184"/>
      <c r="D93" s="184">
        <v>2930.75</v>
      </c>
      <c r="E93" s="184">
        <v>2351.1</v>
      </c>
      <c r="F93" s="184" t="s">
        <v>212</v>
      </c>
      <c r="G93" s="193" t="s">
        <v>213</v>
      </c>
      <c r="H93" s="152">
        <f t="shared" si="12"/>
        <v>579.65</v>
      </c>
      <c r="I93" s="20">
        <f t="shared" si="13"/>
        <v>0.1977821377</v>
      </c>
      <c r="K93" s="197" t="s">
        <v>214</v>
      </c>
      <c r="L93" s="198">
        <v>1.0409722222222222</v>
      </c>
      <c r="M93" s="199" t="s">
        <v>215</v>
      </c>
      <c r="N93" s="201">
        <v>0.9972222222222222</v>
      </c>
    </row>
    <row r="94">
      <c r="A94" s="183">
        <v>2017.0</v>
      </c>
      <c r="B94" s="183" t="s">
        <v>216</v>
      </c>
      <c r="C94" s="184"/>
      <c r="D94" s="184">
        <v>2690.16</v>
      </c>
      <c r="E94" s="184">
        <v>2257.83</v>
      </c>
      <c r="F94" s="184" t="s">
        <v>217</v>
      </c>
      <c r="G94" s="185" t="s">
        <v>218</v>
      </c>
      <c r="H94" s="152">
        <f t="shared" si="12"/>
        <v>432.33</v>
      </c>
      <c r="I94" s="20">
        <f t="shared" si="13"/>
        <v>0.1607079133</v>
      </c>
      <c r="K94" s="197" t="s">
        <v>219</v>
      </c>
      <c r="L94" s="202">
        <v>0.9902777777777778</v>
      </c>
      <c r="M94" s="199" t="s">
        <v>220</v>
      </c>
      <c r="N94" s="200">
        <v>1.0055555555555555</v>
      </c>
    </row>
    <row r="95">
      <c r="A95" s="183">
        <v>2016.0</v>
      </c>
      <c r="B95" s="183" t="s">
        <v>221</v>
      </c>
      <c r="C95" s="184"/>
      <c r="D95" s="184">
        <v>2271.72</v>
      </c>
      <c r="E95" s="184">
        <v>1829.08</v>
      </c>
      <c r="F95" s="184" t="s">
        <v>222</v>
      </c>
      <c r="G95" s="185" t="s">
        <v>223</v>
      </c>
      <c r="H95" s="152">
        <f t="shared" si="12"/>
        <v>442.64</v>
      </c>
      <c r="I95" s="20">
        <f t="shared" si="13"/>
        <v>0.1948479566</v>
      </c>
      <c r="K95" s="197" t="s">
        <v>224</v>
      </c>
      <c r="L95" s="202">
        <v>0.9326388888888889</v>
      </c>
      <c r="M95" s="199" t="s">
        <v>225</v>
      </c>
      <c r="N95" s="200">
        <v>1.023611111111111</v>
      </c>
    </row>
    <row r="96">
      <c r="A96" s="183">
        <v>2015.0</v>
      </c>
      <c r="B96" s="183" t="s">
        <v>226</v>
      </c>
      <c r="C96" s="184"/>
      <c r="D96" s="184">
        <v>2130.82</v>
      </c>
      <c r="E96" s="184">
        <v>1867.61</v>
      </c>
      <c r="F96" s="184" t="s">
        <v>227</v>
      </c>
      <c r="G96" s="193" t="s">
        <v>228</v>
      </c>
      <c r="H96" s="152">
        <f t="shared" si="12"/>
        <v>263.21</v>
      </c>
      <c r="I96" s="20">
        <f t="shared" si="13"/>
        <v>0.1235252156</v>
      </c>
      <c r="K96" s="197" t="s">
        <v>229</v>
      </c>
      <c r="L96" s="202">
        <v>0.8034722222222223</v>
      </c>
      <c r="M96" s="199" t="s">
        <v>230</v>
      </c>
      <c r="N96" s="200">
        <v>1.0104166666666667</v>
      </c>
    </row>
    <row r="97">
      <c r="A97" s="183">
        <v>2014.0</v>
      </c>
      <c r="B97" s="183" t="s">
        <v>231</v>
      </c>
      <c r="C97" s="184"/>
      <c r="D97" s="184">
        <v>2090.57</v>
      </c>
      <c r="E97" s="184">
        <v>1741.89</v>
      </c>
      <c r="F97" s="184" t="s">
        <v>232</v>
      </c>
      <c r="G97" s="185" t="s">
        <v>233</v>
      </c>
      <c r="H97" s="152">
        <f t="shared" si="12"/>
        <v>348.68</v>
      </c>
      <c r="I97" s="20">
        <f t="shared" si="13"/>
        <v>0.1667870485</v>
      </c>
      <c r="K97" s="197" t="s">
        <v>234</v>
      </c>
      <c r="L97" s="202">
        <v>0.8395833333333333</v>
      </c>
      <c r="M97" s="199" t="s">
        <v>235</v>
      </c>
      <c r="N97" s="200">
        <v>1.0159722222222223</v>
      </c>
    </row>
    <row r="98">
      <c r="A98" s="183">
        <v>2013.0</v>
      </c>
      <c r="B98" s="183" t="s">
        <v>236</v>
      </c>
      <c r="C98" s="184"/>
      <c r="D98" s="184">
        <v>1848.36</v>
      </c>
      <c r="E98" s="184">
        <v>1457.15</v>
      </c>
      <c r="F98" s="184" t="s">
        <v>237</v>
      </c>
      <c r="G98" s="185" t="s">
        <v>238</v>
      </c>
      <c r="H98" s="152">
        <f t="shared" si="12"/>
        <v>391.21</v>
      </c>
      <c r="I98" s="20">
        <f t="shared" si="13"/>
        <v>0.2116524919</v>
      </c>
      <c r="K98" s="197" t="s">
        <v>239</v>
      </c>
      <c r="L98" s="203">
        <v>0.9784722222222222</v>
      </c>
      <c r="M98" s="199" t="s">
        <v>240</v>
      </c>
      <c r="N98" s="200">
        <v>1.0013888888888889</v>
      </c>
    </row>
    <row r="99">
      <c r="A99" s="183">
        <v>2012.0</v>
      </c>
      <c r="B99" s="183" t="s">
        <v>241</v>
      </c>
      <c r="C99" s="184"/>
      <c r="D99" s="184">
        <v>1456.77</v>
      </c>
      <c r="E99" s="184">
        <v>1277.06</v>
      </c>
      <c r="F99" s="184" t="s">
        <v>242</v>
      </c>
      <c r="G99" s="185" t="s">
        <v>243</v>
      </c>
      <c r="H99" s="152">
        <f t="shared" si="12"/>
        <v>179.71</v>
      </c>
      <c r="I99" s="20">
        <f t="shared" si="13"/>
        <v>0.1233619583</v>
      </c>
      <c r="K99" s="197" t="s">
        <v>244</v>
      </c>
      <c r="L99" s="204">
        <v>1.00625</v>
      </c>
      <c r="M99" s="199" t="s">
        <v>245</v>
      </c>
      <c r="N99" s="201">
        <v>0.8875</v>
      </c>
    </row>
    <row r="100">
      <c r="A100" s="183">
        <v>2011.0</v>
      </c>
      <c r="B100" s="183" t="s">
        <v>246</v>
      </c>
      <c r="C100" s="184"/>
      <c r="D100" s="184">
        <v>1363.61</v>
      </c>
      <c r="E100" s="184">
        <v>1099.23</v>
      </c>
      <c r="F100" s="184" t="s">
        <v>247</v>
      </c>
      <c r="G100" s="193" t="s">
        <v>248</v>
      </c>
      <c r="H100" s="152">
        <f t="shared" si="12"/>
        <v>264.38</v>
      </c>
      <c r="I100" s="20">
        <f t="shared" si="13"/>
        <v>0.1938824151</v>
      </c>
      <c r="K100" s="197" t="s">
        <v>249</v>
      </c>
      <c r="L100" s="205">
        <v>1.038888888888889</v>
      </c>
      <c r="M100" s="199" t="s">
        <v>250</v>
      </c>
      <c r="N100" s="201">
        <v>0.9263888888888889</v>
      </c>
    </row>
    <row r="101">
      <c r="A101" s="183">
        <v>2010.0</v>
      </c>
      <c r="B101" s="183" t="s">
        <v>251</v>
      </c>
      <c r="C101" s="184"/>
      <c r="D101" s="184">
        <v>1259.78</v>
      </c>
      <c r="E101" s="184">
        <v>1022.58</v>
      </c>
      <c r="F101" s="184" t="s">
        <v>252</v>
      </c>
      <c r="G101" s="185" t="s">
        <v>253</v>
      </c>
      <c r="H101" s="152">
        <f t="shared" si="12"/>
        <v>237.2</v>
      </c>
      <c r="I101" s="20">
        <f t="shared" si="13"/>
        <v>0.1882868437</v>
      </c>
      <c r="K101" s="197" t="s">
        <v>254</v>
      </c>
      <c r="L101" s="198">
        <v>1.1298611111111112</v>
      </c>
      <c r="M101" s="199" t="s">
        <v>255</v>
      </c>
      <c r="N101" s="201">
        <v>0.8916666666666667</v>
      </c>
    </row>
    <row r="102">
      <c r="A102" s="183">
        <v>2009.0</v>
      </c>
      <c r="B102" s="206">
        <v>39.50347222222222</v>
      </c>
      <c r="C102" s="184"/>
      <c r="D102" s="184">
        <v>1127.48</v>
      </c>
      <c r="E102" s="183">
        <v>676.53</v>
      </c>
      <c r="F102" s="183" t="s">
        <v>256</v>
      </c>
      <c r="G102" s="185" t="s">
        <v>257</v>
      </c>
      <c r="H102" s="152">
        <f t="shared" si="12"/>
        <v>450.95</v>
      </c>
      <c r="I102" s="20">
        <f t="shared" si="13"/>
        <v>0.3999627488</v>
      </c>
      <c r="K102" s="197" t="s">
        <v>258</v>
      </c>
      <c r="L102" s="198">
        <v>1.31875</v>
      </c>
      <c r="M102" s="199" t="s">
        <v>259</v>
      </c>
      <c r="N102" s="201">
        <v>0.8416666666666667</v>
      </c>
    </row>
    <row r="103">
      <c r="A103" s="183">
        <v>2008.0</v>
      </c>
      <c r="B103" s="183" t="s">
        <v>260</v>
      </c>
      <c r="C103" s="184"/>
      <c r="D103" s="184">
        <v>1447.16</v>
      </c>
      <c r="E103" s="183">
        <v>752.44</v>
      </c>
      <c r="F103" s="206">
        <v>37.642361111111114</v>
      </c>
      <c r="G103" s="193" t="s">
        <v>261</v>
      </c>
      <c r="H103" s="152">
        <f t="shared" si="12"/>
        <v>694.72</v>
      </c>
      <c r="I103" s="20">
        <f t="shared" si="13"/>
        <v>0.4800574919</v>
      </c>
      <c r="K103" s="197" t="s">
        <v>262</v>
      </c>
      <c r="L103" s="198">
        <v>1.6875</v>
      </c>
      <c r="M103" s="199" t="s">
        <v>263</v>
      </c>
      <c r="N103" s="201">
        <v>0.7923611111111111</v>
      </c>
    </row>
    <row r="104">
      <c r="A104" s="183">
        <v>2007.0</v>
      </c>
      <c r="B104" s="183" t="s">
        <v>264</v>
      </c>
      <c r="C104" s="184"/>
      <c r="D104" s="184">
        <v>1565.15</v>
      </c>
      <c r="E104" s="207">
        <v>1374.12</v>
      </c>
      <c r="F104" s="183" t="s">
        <v>265</v>
      </c>
      <c r="G104" s="185" t="s">
        <v>266</v>
      </c>
      <c r="H104" s="152">
        <f t="shared" si="12"/>
        <v>191.03</v>
      </c>
      <c r="I104" s="20">
        <f t="shared" si="13"/>
        <v>0.1220521995</v>
      </c>
      <c r="K104" s="197" t="s">
        <v>267</v>
      </c>
      <c r="L104" s="198">
        <v>1.4333333333333333</v>
      </c>
      <c r="M104" s="199" t="s">
        <v>268</v>
      </c>
      <c r="N104" s="201">
        <v>0.7923611111111111</v>
      </c>
    </row>
    <row r="105">
      <c r="A105" s="183">
        <v>2006.0</v>
      </c>
      <c r="B105" s="183" t="s">
        <v>269</v>
      </c>
      <c r="C105" s="184"/>
      <c r="D105" s="184">
        <v>1427.09</v>
      </c>
      <c r="E105" s="207">
        <v>1223.69</v>
      </c>
      <c r="F105" s="183" t="s">
        <v>270</v>
      </c>
      <c r="G105" s="185" t="s">
        <v>271</v>
      </c>
      <c r="H105" s="152">
        <f t="shared" si="12"/>
        <v>203.4</v>
      </c>
      <c r="I105" s="20">
        <f t="shared" si="13"/>
        <v>0.1425278013</v>
      </c>
      <c r="K105" s="197" t="s">
        <v>272</v>
      </c>
      <c r="L105" s="198">
        <v>1.3083333333333333</v>
      </c>
      <c r="M105" s="199" t="s">
        <v>273</v>
      </c>
      <c r="N105" s="201">
        <v>0.7895833333333333</v>
      </c>
    </row>
    <row r="106">
      <c r="A106" s="183">
        <v>2005.0</v>
      </c>
      <c r="B106" s="183" t="s">
        <v>274</v>
      </c>
      <c r="C106" s="184"/>
      <c r="D106" s="184">
        <v>1272.74</v>
      </c>
      <c r="E106" s="207">
        <v>1137.5</v>
      </c>
      <c r="F106" s="183" t="s">
        <v>275</v>
      </c>
      <c r="G106" s="185" t="s">
        <v>276</v>
      </c>
      <c r="H106" s="152">
        <f t="shared" si="12"/>
        <v>135.24</v>
      </c>
      <c r="I106" s="20">
        <f t="shared" si="13"/>
        <v>0.1062589374</v>
      </c>
      <c r="K106" s="197" t="s">
        <v>277</v>
      </c>
      <c r="L106" s="202">
        <v>0.9319444444444445</v>
      </c>
      <c r="M106" s="199" t="s">
        <v>278</v>
      </c>
      <c r="N106" s="201">
        <v>0.78125</v>
      </c>
    </row>
    <row r="107">
      <c r="A107" s="183">
        <v>2004.0</v>
      </c>
      <c r="B107" s="183" t="s">
        <v>279</v>
      </c>
      <c r="C107" s="184"/>
      <c r="D107" s="184">
        <v>1213.54</v>
      </c>
      <c r="E107" s="207">
        <v>1063.23</v>
      </c>
      <c r="F107" s="183" t="s">
        <v>280</v>
      </c>
      <c r="G107" s="185" t="s">
        <v>281</v>
      </c>
      <c r="H107" s="152">
        <f t="shared" si="12"/>
        <v>150.31</v>
      </c>
      <c r="I107" s="20">
        <f t="shared" si="13"/>
        <v>0.123860771</v>
      </c>
      <c r="K107" s="197" t="s">
        <v>282</v>
      </c>
      <c r="L107" s="202">
        <v>0.9694444444444444</v>
      </c>
      <c r="M107" s="199" t="s">
        <v>283</v>
      </c>
      <c r="N107" s="201">
        <v>0.7652777777777777</v>
      </c>
    </row>
    <row r="108">
      <c r="A108" s="183">
        <v>2003.0</v>
      </c>
      <c r="B108" s="206">
        <v>40.22430555555555</v>
      </c>
      <c r="C108" s="184"/>
      <c r="D108" s="184">
        <v>1111.92</v>
      </c>
      <c r="E108" s="183">
        <v>801.13</v>
      </c>
      <c r="F108" s="183" t="s">
        <v>284</v>
      </c>
      <c r="G108" s="185" t="s">
        <v>285</v>
      </c>
      <c r="H108" s="152">
        <f t="shared" si="12"/>
        <v>310.79</v>
      </c>
      <c r="I108" s="20">
        <f t="shared" si="13"/>
        <v>0.2795075185</v>
      </c>
      <c r="K108" s="197" t="s">
        <v>286</v>
      </c>
      <c r="L108" s="202">
        <v>0.9444444444444444</v>
      </c>
      <c r="M108" s="199" t="s">
        <v>287</v>
      </c>
      <c r="N108" s="201">
        <v>0.7541666666666667</v>
      </c>
    </row>
    <row r="109">
      <c r="A109" s="183">
        <v>2002.0</v>
      </c>
      <c r="B109" s="206">
        <v>41.43958333333333</v>
      </c>
      <c r="C109" s="184"/>
      <c r="D109" s="184">
        <v>1172.51</v>
      </c>
      <c r="E109" s="183">
        <v>777.16</v>
      </c>
      <c r="F109" s="206">
        <v>36.68194444444445</v>
      </c>
      <c r="G109" s="193" t="s">
        <v>288</v>
      </c>
      <c r="H109" s="152">
        <f t="shared" si="12"/>
        <v>395.35</v>
      </c>
      <c r="I109" s="20">
        <f t="shared" si="13"/>
        <v>0.3371826253</v>
      </c>
      <c r="K109" s="197" t="s">
        <v>289</v>
      </c>
      <c r="L109" s="202">
        <v>0.9270833333333334</v>
      </c>
      <c r="M109" s="199" t="s">
        <v>290</v>
      </c>
      <c r="N109" s="201">
        <v>0.7701388888888889</v>
      </c>
    </row>
    <row r="110">
      <c r="A110" s="183">
        <v>2001.0</v>
      </c>
      <c r="B110" s="183" t="s">
        <v>291</v>
      </c>
      <c r="C110" s="184"/>
      <c r="D110" s="184">
        <v>1373.73</v>
      </c>
      <c r="E110" s="183">
        <v>966.2</v>
      </c>
      <c r="F110" s="183" t="s">
        <v>292</v>
      </c>
      <c r="G110" s="193" t="s">
        <v>293</v>
      </c>
      <c r="H110" s="152">
        <f t="shared" si="12"/>
        <v>407.53</v>
      </c>
      <c r="I110" s="20">
        <f t="shared" si="13"/>
        <v>0.29665946</v>
      </c>
      <c r="K110" s="197" t="s">
        <v>294</v>
      </c>
      <c r="L110" s="202">
        <v>0.88125</v>
      </c>
      <c r="M110" s="199" t="s">
        <v>295</v>
      </c>
      <c r="N110" s="201">
        <v>0.7006944444444444</v>
      </c>
    </row>
    <row r="111">
      <c r="A111" s="183">
        <v>2000.0</v>
      </c>
      <c r="B111" s="183" t="s">
        <v>296</v>
      </c>
      <c r="C111" s="184"/>
      <c r="D111" s="184">
        <v>1527.46</v>
      </c>
      <c r="E111" s="207">
        <v>1264.74</v>
      </c>
      <c r="F111" s="183" t="s">
        <v>297</v>
      </c>
      <c r="G111" s="193" t="s">
        <v>298</v>
      </c>
      <c r="H111" s="152">
        <f t="shared" si="12"/>
        <v>262.72</v>
      </c>
      <c r="I111" s="20">
        <f t="shared" si="13"/>
        <v>0.1719979574</v>
      </c>
      <c r="K111" s="197" t="s">
        <v>299</v>
      </c>
      <c r="L111" s="202">
        <v>0.8152777777777778</v>
      </c>
      <c r="M111" s="199" t="s">
        <v>300</v>
      </c>
      <c r="N111" s="201">
        <v>0.7125</v>
      </c>
    </row>
    <row r="112">
      <c r="A112" s="183">
        <v>1999.0</v>
      </c>
      <c r="B112" s="183" t="s">
        <v>301</v>
      </c>
      <c r="C112" s="184"/>
      <c r="D112" s="184">
        <v>1469.25</v>
      </c>
      <c r="E112" s="207">
        <v>1212.19</v>
      </c>
      <c r="F112" s="183" t="s">
        <v>302</v>
      </c>
      <c r="G112" s="185" t="s">
        <v>303</v>
      </c>
      <c r="H112" s="152">
        <f t="shared" si="12"/>
        <v>257.06</v>
      </c>
      <c r="I112" s="20">
        <f t="shared" si="13"/>
        <v>0.1749600136</v>
      </c>
      <c r="K112" s="197" t="s">
        <v>304</v>
      </c>
      <c r="L112" s="202">
        <v>0.9409722222222222</v>
      </c>
      <c r="M112" s="199" t="s">
        <v>305</v>
      </c>
      <c r="N112" s="201">
        <v>0.6590277777777778</v>
      </c>
    </row>
    <row r="113">
      <c r="A113" s="183">
        <v>1998.0</v>
      </c>
      <c r="B113" s="183" t="s">
        <v>306</v>
      </c>
      <c r="C113" s="184"/>
      <c r="D113" s="184" t="s">
        <v>307</v>
      </c>
      <c r="E113" s="206">
        <v>38.672916666666666</v>
      </c>
      <c r="F113" s="183" t="s">
        <v>308</v>
      </c>
      <c r="G113" s="185" t="s">
        <v>309</v>
      </c>
      <c r="H113" s="208" t="str">
        <f t="shared" si="12"/>
        <v>#VALUE!</v>
      </c>
      <c r="I113" s="208"/>
      <c r="J113" s="208"/>
      <c r="K113" s="197" t="s">
        <v>310</v>
      </c>
      <c r="L113" s="202">
        <v>0.9298611111111111</v>
      </c>
      <c r="M113" s="199" t="s">
        <v>311</v>
      </c>
      <c r="N113" s="201">
        <v>0.6881944444444444</v>
      </c>
    </row>
    <row r="114">
      <c r="A114" s="183">
        <v>1997.0</v>
      </c>
      <c r="B114" s="206">
        <v>36.40486111111111</v>
      </c>
      <c r="C114" s="206"/>
      <c r="D114" s="206">
        <v>41.013194444444444</v>
      </c>
      <c r="E114" s="206">
        <v>30.709027777777777</v>
      </c>
      <c r="F114" s="206">
        <v>40.446527777777774</v>
      </c>
      <c r="G114" s="185" t="s">
        <v>312</v>
      </c>
      <c r="K114" s="209" t="s">
        <v>313</v>
      </c>
      <c r="L114" s="210">
        <v>0.9777777777777777</v>
      </c>
      <c r="M114" s="211" t="s">
        <v>314</v>
      </c>
      <c r="N114" s="212">
        <v>0.6152777777777778</v>
      </c>
    </row>
    <row r="115">
      <c r="A115" s="183">
        <v>1996.0</v>
      </c>
      <c r="B115" s="206">
        <v>27.950694444444444</v>
      </c>
      <c r="C115" s="206"/>
      <c r="D115" s="206">
        <v>31.54375</v>
      </c>
      <c r="E115" s="206">
        <v>24.95</v>
      </c>
      <c r="F115" s="206">
        <v>30.884722222222223</v>
      </c>
      <c r="G115" s="185" t="s">
        <v>315</v>
      </c>
      <c r="H115" s="213" t="s">
        <v>316</v>
      </c>
      <c r="I115" s="154" t="s">
        <v>317</v>
      </c>
      <c r="K115" s="162"/>
      <c r="L115" s="163"/>
      <c r="M115" s="214"/>
    </row>
    <row r="116">
      <c r="A116" s="183">
        <v>1995.0</v>
      </c>
      <c r="B116" s="206">
        <v>22.591666666666665</v>
      </c>
      <c r="C116" s="206"/>
      <c r="D116" s="206">
        <v>25.922916666666666</v>
      </c>
      <c r="E116" s="206">
        <v>19.132638888888888</v>
      </c>
      <c r="F116" s="206">
        <v>25.689583333333335</v>
      </c>
      <c r="G116" s="185" t="s">
        <v>318</v>
      </c>
      <c r="H116" s="215">
        <f>MEDIAN(I87:I112)</f>
        <v>0.1963150471</v>
      </c>
      <c r="I116" s="216">
        <f>AVERAGE(I87:I112)</f>
        <v>0.2239453115</v>
      </c>
    </row>
    <row r="117">
      <c r="A117" s="183">
        <v>1994.0</v>
      </c>
      <c r="B117" s="206">
        <v>19.195833333333333</v>
      </c>
      <c r="C117" s="206"/>
      <c r="D117" s="206">
        <v>20.083333333333332</v>
      </c>
      <c r="E117" s="206">
        <v>18.31388888888889</v>
      </c>
      <c r="F117" s="206">
        <v>19.14375</v>
      </c>
      <c r="G117" s="193" t="s">
        <v>319</v>
      </c>
    </row>
    <row r="118">
      <c r="A118" s="183">
        <v>1993.0</v>
      </c>
      <c r="B118" s="206">
        <v>18.834027777777777</v>
      </c>
      <c r="C118" s="206"/>
      <c r="D118" s="206">
        <v>19.648611111111112</v>
      </c>
      <c r="E118" s="206">
        <v>17.87847222222222</v>
      </c>
      <c r="F118" s="206">
        <v>19.447916666666668</v>
      </c>
      <c r="G118" s="185" t="s">
        <v>320</v>
      </c>
    </row>
    <row r="119">
      <c r="A119" s="183">
        <v>1992.0</v>
      </c>
      <c r="B119" s="206">
        <v>17.34375</v>
      </c>
      <c r="C119" s="206"/>
      <c r="D119" s="206">
        <v>18.394444444444446</v>
      </c>
      <c r="E119" s="206">
        <v>16.45138888888889</v>
      </c>
      <c r="F119" s="206">
        <v>18.174305555555556</v>
      </c>
      <c r="G119" s="185" t="s">
        <v>321</v>
      </c>
    </row>
    <row r="120">
      <c r="A120" s="183">
        <v>1991.0</v>
      </c>
      <c r="B120" s="206">
        <v>15.67986111111111</v>
      </c>
      <c r="C120" s="206"/>
      <c r="D120" s="206">
        <v>17.38125</v>
      </c>
      <c r="E120" s="206">
        <v>12.99236111111111</v>
      </c>
      <c r="F120" s="206">
        <v>17.38125</v>
      </c>
      <c r="G120" s="185" t="s">
        <v>322</v>
      </c>
    </row>
    <row r="121">
      <c r="A121" s="183">
        <v>1990.0</v>
      </c>
      <c r="B121" s="206">
        <v>13.960416666666667</v>
      </c>
      <c r="C121" s="206"/>
      <c r="D121" s="206">
        <v>15.399305555555555</v>
      </c>
      <c r="E121" s="206">
        <v>12.323611111111111</v>
      </c>
      <c r="F121" s="206">
        <v>13.765277777777778</v>
      </c>
      <c r="G121" s="193" t="s">
        <v>323</v>
      </c>
    </row>
    <row r="122">
      <c r="A122" s="183">
        <v>1989.0</v>
      </c>
      <c r="B122" s="206">
        <v>13.461805555555555</v>
      </c>
      <c r="C122" s="206"/>
      <c r="D122" s="206">
        <v>15.01388888888889</v>
      </c>
      <c r="E122" s="206">
        <v>11.479861111111111</v>
      </c>
      <c r="F122" s="206">
        <v>14.73611111111111</v>
      </c>
      <c r="G122" s="185" t="s">
        <v>324</v>
      </c>
    </row>
    <row r="123">
      <c r="A123" s="183">
        <v>1988.0</v>
      </c>
      <c r="B123" s="206">
        <v>11.102777777777778</v>
      </c>
      <c r="C123" s="206"/>
      <c r="D123" s="206">
        <v>11.8375</v>
      </c>
      <c r="E123" s="206">
        <v>10.127083333333333</v>
      </c>
      <c r="F123" s="206">
        <v>11.591666666666667</v>
      </c>
      <c r="G123" s="185" t="s">
        <v>325</v>
      </c>
    </row>
    <row r="124">
      <c r="A124" s="183">
        <v>1987.0</v>
      </c>
      <c r="B124" s="206">
        <v>11.958333333333334</v>
      </c>
      <c r="C124" s="206"/>
      <c r="D124" s="206">
        <v>14.053472222222222</v>
      </c>
      <c r="E124" s="206">
        <v>9.355555555555556</v>
      </c>
      <c r="F124" s="206">
        <v>10.297222222222222</v>
      </c>
      <c r="G124" s="185" t="s">
        <v>326</v>
      </c>
    </row>
    <row r="125">
      <c r="A125" s="183">
        <v>1986.0</v>
      </c>
      <c r="B125" s="206">
        <v>9.860416666666667</v>
      </c>
      <c r="C125" s="206"/>
      <c r="D125" s="206">
        <v>10.583333333333334</v>
      </c>
      <c r="E125" s="206">
        <v>8.49236111111111</v>
      </c>
      <c r="F125" s="206">
        <v>10.095138888888888</v>
      </c>
      <c r="G125" s="185" t="s">
        <v>327</v>
      </c>
    </row>
    <row r="126">
      <c r="A126" s="183">
        <v>1985.0</v>
      </c>
      <c r="B126" s="206">
        <v>7.807638888888889</v>
      </c>
      <c r="C126" s="206"/>
      <c r="D126" s="206">
        <v>8.834722222222222</v>
      </c>
      <c r="E126" s="206">
        <v>6.838888888888889</v>
      </c>
      <c r="F126" s="206">
        <v>8.811111111111112</v>
      </c>
      <c r="G126" s="185" t="s">
        <v>328</v>
      </c>
    </row>
    <row r="127">
      <c r="A127" s="183">
        <v>1984.0</v>
      </c>
      <c r="B127" s="206">
        <v>6.698611111111111</v>
      </c>
      <c r="C127" s="206"/>
      <c r="D127" s="206">
        <v>7.111805555555556</v>
      </c>
      <c r="E127" s="206">
        <v>6.1819444444444445</v>
      </c>
      <c r="F127" s="206">
        <v>6.975</v>
      </c>
      <c r="G127" s="185" t="s">
        <v>329</v>
      </c>
    </row>
    <row r="128">
      <c r="A128" s="183">
        <v>1983.0</v>
      </c>
      <c r="B128" s="206">
        <v>6.699305555555555</v>
      </c>
      <c r="C128" s="206"/>
      <c r="D128" s="206">
        <v>7.211805555555555</v>
      </c>
      <c r="E128" s="206">
        <v>5.773611111111111</v>
      </c>
      <c r="F128" s="206">
        <v>6.897916666666666</v>
      </c>
      <c r="G128" s="185" t="s">
        <v>330</v>
      </c>
    </row>
    <row r="129">
      <c r="A129" s="183">
        <v>1982.0</v>
      </c>
      <c r="B129" s="206">
        <v>5.007638888888889</v>
      </c>
      <c r="C129" s="206"/>
      <c r="D129" s="206">
        <v>5.959722222222222</v>
      </c>
      <c r="E129" s="206">
        <v>4.279166666666667</v>
      </c>
      <c r="F129" s="206">
        <v>5.877777777777778</v>
      </c>
      <c r="G129" s="185" t="s">
        <v>331</v>
      </c>
    </row>
    <row r="130">
      <c r="A130" s="183">
        <v>1981.0</v>
      </c>
      <c r="B130" s="206">
        <v>5.336111111111111</v>
      </c>
      <c r="C130" s="206"/>
      <c r="D130" s="206">
        <v>5.758333333333334</v>
      </c>
      <c r="E130" s="206">
        <v>4.720138888888889</v>
      </c>
      <c r="F130" s="206">
        <v>5.121527777777778</v>
      </c>
      <c r="G130" s="193" t="s">
        <v>332</v>
      </c>
    </row>
    <row r="131">
      <c r="A131" s="183">
        <v>1980.0</v>
      </c>
      <c r="B131" s="206">
        <v>4.965972222222222</v>
      </c>
      <c r="C131" s="206"/>
      <c r="D131" s="206">
        <v>5.8694444444444445</v>
      </c>
      <c r="E131" s="206">
        <v>4.098611111111111</v>
      </c>
      <c r="F131" s="206">
        <v>5.677777777777778</v>
      </c>
      <c r="G131" s="185" t="s">
        <v>333</v>
      </c>
    </row>
    <row r="132">
      <c r="A132" s="183">
        <v>1979.0</v>
      </c>
      <c r="B132" s="206">
        <v>4.291666666666667</v>
      </c>
      <c r="C132" s="206"/>
      <c r="D132" s="206">
        <v>4.64375</v>
      </c>
      <c r="E132" s="206">
        <v>4.009027777777778</v>
      </c>
      <c r="F132" s="206">
        <v>4.523611111111111</v>
      </c>
      <c r="G132" s="185" t="s">
        <v>334</v>
      </c>
    </row>
    <row r="133">
      <c r="A133" s="183">
        <v>1978.0</v>
      </c>
      <c r="B133" s="206">
        <v>4.007638888888889</v>
      </c>
      <c r="C133" s="206"/>
      <c r="D133" s="206">
        <v>4.485416666666667</v>
      </c>
      <c r="E133" s="206">
        <v>3.6458333333333335</v>
      </c>
      <c r="F133" s="206">
        <v>4.007638888888889</v>
      </c>
      <c r="G133" s="185" t="s">
        <v>335</v>
      </c>
    </row>
    <row r="134">
      <c r="A134" s="183">
        <v>1977.0</v>
      </c>
      <c r="B134" s="206">
        <v>4.095833333333333</v>
      </c>
      <c r="C134" s="206"/>
      <c r="D134" s="206">
        <v>4.458333333333333</v>
      </c>
      <c r="E134" s="206">
        <v>3.7993055555555557</v>
      </c>
      <c r="F134" s="206">
        <v>3.9652777777777777</v>
      </c>
      <c r="G134" s="193" t="s">
        <v>336</v>
      </c>
    </row>
    <row r="135">
      <c r="A135" s="183">
        <v>1976.0</v>
      </c>
      <c r="B135" s="206">
        <v>4.252777777777778</v>
      </c>
      <c r="C135" s="206"/>
      <c r="D135" s="206">
        <v>4.5159722222222225</v>
      </c>
      <c r="E135" s="206">
        <v>3.8125</v>
      </c>
      <c r="F135" s="206">
        <v>4.490277777777778</v>
      </c>
      <c r="G135" s="185" t="s">
        <v>337</v>
      </c>
    </row>
    <row r="136">
      <c r="A136" s="183">
        <v>1975.0</v>
      </c>
      <c r="B136" s="206">
        <v>3.595833333333333</v>
      </c>
      <c r="C136" s="206"/>
      <c r="D136" s="206">
        <v>4.000694444444444</v>
      </c>
      <c r="E136" s="206">
        <v>2.9194444444444443</v>
      </c>
      <c r="F136" s="206">
        <v>3.7631944444444443</v>
      </c>
      <c r="G136" s="185" t="s">
        <v>338</v>
      </c>
    </row>
    <row r="137">
      <c r="A137" s="183">
        <v>1974.0</v>
      </c>
      <c r="B137" s="206">
        <v>3.470833333333333</v>
      </c>
      <c r="C137" s="206"/>
      <c r="D137" s="206">
        <v>4.180555555555555</v>
      </c>
      <c r="E137" s="206">
        <v>2.602777777777778</v>
      </c>
      <c r="F137" s="206">
        <v>2.8722222222222222</v>
      </c>
      <c r="G137" s="193" t="s">
        <v>339</v>
      </c>
    </row>
    <row r="138">
      <c r="A138" s="183">
        <v>1973.0</v>
      </c>
      <c r="B138" s="206">
        <v>4.488888888888889</v>
      </c>
      <c r="C138" s="206"/>
      <c r="D138" s="206">
        <v>5.016666666666667</v>
      </c>
      <c r="E138" s="206">
        <v>3.8444444444444446</v>
      </c>
      <c r="F138" s="206">
        <v>4.079861111111111</v>
      </c>
      <c r="G138" s="193" t="s">
        <v>340</v>
      </c>
    </row>
    <row r="139">
      <c r="A139" s="183">
        <v>1972.0</v>
      </c>
      <c r="B139" s="206">
        <v>4.550694444444445</v>
      </c>
      <c r="C139" s="206"/>
      <c r="D139" s="206">
        <v>4.966666666666667</v>
      </c>
      <c r="E139" s="206">
        <v>4.254861111111111</v>
      </c>
      <c r="F139" s="206">
        <v>4.920138888888889</v>
      </c>
      <c r="G139" s="185" t="s">
        <v>341</v>
      </c>
    </row>
    <row r="140">
      <c r="A140" s="183">
        <v>1971.0</v>
      </c>
      <c r="B140" s="206">
        <v>4.105555555555555</v>
      </c>
      <c r="C140" s="206"/>
      <c r="D140" s="206">
        <v>4.386805555555555</v>
      </c>
      <c r="E140" s="206">
        <v>3.761111111111111</v>
      </c>
      <c r="F140" s="206">
        <v>4.25625</v>
      </c>
      <c r="G140" s="185" t="s">
        <v>342</v>
      </c>
    </row>
    <row r="141">
      <c r="A141" s="183">
        <v>1970.0</v>
      </c>
      <c r="B141" s="206">
        <v>3.46875</v>
      </c>
      <c r="C141" s="206"/>
      <c r="D141" s="206">
        <v>3.9069444444444446</v>
      </c>
      <c r="E141" s="206">
        <v>2.895138888888889</v>
      </c>
      <c r="F141" s="206">
        <v>3.84375</v>
      </c>
      <c r="G141" s="185" t="s">
        <v>343</v>
      </c>
    </row>
    <row r="142">
      <c r="A142" s="183">
        <v>1969.0</v>
      </c>
      <c r="B142" s="206">
        <v>4.095138888888889</v>
      </c>
      <c r="C142" s="206"/>
      <c r="D142" s="206">
        <v>4.427777777777778</v>
      </c>
      <c r="E142" s="206">
        <v>3.7222222222222223</v>
      </c>
      <c r="F142" s="206">
        <v>3.8375</v>
      </c>
      <c r="G142" s="193" t="s">
        <v>344</v>
      </c>
    </row>
    <row r="143">
      <c r="A143" s="183">
        <v>1968.0</v>
      </c>
      <c r="B143" s="206">
        <v>4.1097222222222225</v>
      </c>
      <c r="C143" s="206"/>
      <c r="D143" s="206">
        <v>4.5256944444444445</v>
      </c>
      <c r="E143" s="206">
        <v>3.675</v>
      </c>
      <c r="F143" s="206">
        <v>4.351388888888889</v>
      </c>
      <c r="G143" s="185" t="s">
        <v>345</v>
      </c>
    </row>
    <row r="144">
      <c r="A144" s="183">
        <v>1967.0</v>
      </c>
      <c r="B144" s="206">
        <v>3.8583333333333334</v>
      </c>
      <c r="C144" s="206"/>
      <c r="D144" s="206">
        <v>4.082638888888889</v>
      </c>
      <c r="E144" s="206">
        <v>3.359722222222222</v>
      </c>
      <c r="F144" s="206">
        <v>4.032638888888889</v>
      </c>
      <c r="G144" s="185" t="s">
        <v>346</v>
      </c>
    </row>
    <row r="145">
      <c r="A145" s="183">
        <v>1966.0</v>
      </c>
      <c r="B145" s="206">
        <v>3.5541666666666667</v>
      </c>
      <c r="C145" s="206"/>
      <c r="D145" s="206">
        <v>3.9208333333333334</v>
      </c>
      <c r="E145" s="206">
        <v>3.0555555555555554</v>
      </c>
      <c r="F145" s="206">
        <v>3.35625</v>
      </c>
      <c r="G145" s="193" t="s">
        <v>347</v>
      </c>
    </row>
    <row r="146">
      <c r="A146" s="183">
        <v>1965.0</v>
      </c>
      <c r="B146" s="206">
        <v>3.6777777777777776</v>
      </c>
      <c r="C146" s="206"/>
      <c r="D146" s="206">
        <v>3.877083333333333</v>
      </c>
      <c r="E146" s="206">
        <v>3.4166666666666665</v>
      </c>
      <c r="F146" s="206">
        <v>3.8631944444444444</v>
      </c>
      <c r="G146" s="185" t="s">
        <v>348</v>
      </c>
    </row>
    <row r="147">
      <c r="A147" s="183">
        <v>1964.0</v>
      </c>
      <c r="B147" s="206">
        <v>3.4006944444444445</v>
      </c>
      <c r="C147" s="206"/>
      <c r="D147" s="206">
        <v>3.602777777777778</v>
      </c>
      <c r="E147" s="206">
        <v>3.154861111111111</v>
      </c>
      <c r="F147" s="206">
        <v>3.5520833333333335</v>
      </c>
      <c r="G147" s="185" t="s">
        <v>349</v>
      </c>
    </row>
    <row r="148">
      <c r="A148" s="183">
        <v>1963.0</v>
      </c>
      <c r="B148" s="206">
        <v>2.9347222222222222</v>
      </c>
      <c r="C148" s="206"/>
      <c r="D148" s="206">
        <v>3.126388888888889</v>
      </c>
      <c r="E148" s="206">
        <v>2.63125</v>
      </c>
      <c r="F148" s="206">
        <v>3.126388888888889</v>
      </c>
      <c r="G148" s="185" t="s">
        <v>350</v>
      </c>
    </row>
    <row r="149">
      <c r="A149" s="183">
        <v>1962.0</v>
      </c>
      <c r="B149" s="206">
        <v>2.6055555555555556</v>
      </c>
      <c r="C149" s="206"/>
      <c r="D149" s="206">
        <v>2.967361111111111</v>
      </c>
      <c r="E149" s="206">
        <v>2.188888888888889</v>
      </c>
      <c r="F149" s="206">
        <v>2.6319444444444446</v>
      </c>
      <c r="G149" s="193" t="s">
        <v>351</v>
      </c>
    </row>
    <row r="150">
      <c r="A150" s="183">
        <v>1961.0</v>
      </c>
      <c r="B150" s="206">
        <v>2.76875</v>
      </c>
      <c r="C150" s="206"/>
      <c r="D150" s="206">
        <v>3.0444444444444443</v>
      </c>
      <c r="E150" s="206">
        <v>2.4145833333333333</v>
      </c>
      <c r="F150" s="206">
        <v>2.9965277777777777</v>
      </c>
      <c r="G150" s="185" t="s">
        <v>352</v>
      </c>
    </row>
    <row r="151">
      <c r="A151" s="183">
        <v>1960.0</v>
      </c>
      <c r="B151" s="206">
        <v>2.3506944444444446</v>
      </c>
      <c r="C151" s="206"/>
      <c r="D151" s="206">
        <v>2.527083333333333</v>
      </c>
      <c r="E151" s="206">
        <v>2.1805555555555554</v>
      </c>
      <c r="F151" s="206">
        <v>2.4243055555555557</v>
      </c>
      <c r="G151" s="193" t="s">
        <v>353</v>
      </c>
    </row>
    <row r="152">
      <c r="A152" s="183">
        <v>1959.0</v>
      </c>
      <c r="B152" s="206">
        <v>2.404166666666667</v>
      </c>
      <c r="C152" s="206"/>
      <c r="D152" s="206">
        <v>2.5493055555555557</v>
      </c>
      <c r="E152" s="206">
        <v>2.248611111111111</v>
      </c>
      <c r="F152" s="206">
        <v>2.520138888888889</v>
      </c>
      <c r="G152" s="185" t="s">
        <v>354</v>
      </c>
    </row>
    <row r="153">
      <c r="A153" s="183">
        <v>1958.0</v>
      </c>
      <c r="B153" s="206">
        <v>1.9305555555555556</v>
      </c>
      <c r="C153" s="206"/>
      <c r="D153" s="206">
        <v>2.30625</v>
      </c>
      <c r="E153" s="206">
        <v>1.6895833333333334</v>
      </c>
      <c r="F153" s="206">
        <v>2.30625</v>
      </c>
      <c r="G153" s="185" t="s">
        <v>355</v>
      </c>
    </row>
    <row r="154">
      <c r="A154" s="183">
        <v>1957.0</v>
      </c>
      <c r="B154" s="206">
        <v>1.8625</v>
      </c>
      <c r="C154" s="206"/>
      <c r="D154" s="206">
        <v>2.0506944444444444</v>
      </c>
      <c r="E154" s="206">
        <v>1.6513888888888888</v>
      </c>
      <c r="F154" s="206">
        <v>1.69375</v>
      </c>
      <c r="G154" s="193" t="s">
        <v>356</v>
      </c>
    </row>
    <row r="155">
      <c r="A155" s="183">
        <v>1956.0</v>
      </c>
      <c r="B155" s="206">
        <v>1.961111111111111</v>
      </c>
      <c r="C155" s="206"/>
      <c r="D155" s="206">
        <v>2.0861111111111112</v>
      </c>
      <c r="E155" s="206">
        <v>1.7993055555555555</v>
      </c>
      <c r="F155" s="206">
        <v>1.9631944444444445</v>
      </c>
      <c r="G155" s="185" t="s">
        <v>357</v>
      </c>
    </row>
    <row r="156">
      <c r="A156" s="183">
        <v>1955.0</v>
      </c>
      <c r="B156" s="206">
        <v>1.7013888888888888</v>
      </c>
      <c r="C156" s="206"/>
      <c r="D156" s="206">
        <v>1.945138888888889</v>
      </c>
      <c r="E156" s="206">
        <v>1.4569444444444444</v>
      </c>
      <c r="F156" s="206">
        <v>1.9083333333333334</v>
      </c>
      <c r="G156" s="185" t="s">
        <v>358</v>
      </c>
    </row>
    <row r="157">
      <c r="A157" s="183">
        <v>1954.0</v>
      </c>
      <c r="B157" s="206">
        <v>1.2583333333333333</v>
      </c>
      <c r="C157" s="206"/>
      <c r="D157" s="206">
        <v>1.5263888888888888</v>
      </c>
      <c r="E157" s="206">
        <v>1.0555555555555556</v>
      </c>
      <c r="F157" s="206">
        <v>1.5263888888888888</v>
      </c>
      <c r="G157" s="185" t="s">
        <v>359</v>
      </c>
    </row>
    <row r="158">
      <c r="A158" s="183">
        <v>1953.0</v>
      </c>
      <c r="B158" s="206">
        <v>1.05</v>
      </c>
      <c r="C158" s="206"/>
      <c r="D158" s="206">
        <v>1.1291666666666667</v>
      </c>
      <c r="E158" s="217">
        <v>0.9659722222222222</v>
      </c>
      <c r="F158" s="206">
        <v>1.05625</v>
      </c>
      <c r="G158" s="193" t="s">
        <v>360</v>
      </c>
    </row>
    <row r="159">
      <c r="A159" s="183">
        <v>1952.0</v>
      </c>
      <c r="B159" s="206">
        <v>1.03125</v>
      </c>
      <c r="C159" s="206"/>
      <c r="D159" s="206">
        <v>1.1243055555555554</v>
      </c>
      <c r="E159" s="217">
        <v>0.9645833333333333</v>
      </c>
      <c r="F159" s="206">
        <v>1.1229166666666666</v>
      </c>
      <c r="G159" s="185" t="s">
        <v>361</v>
      </c>
    </row>
    <row r="160">
      <c r="A160" s="183">
        <v>1951.0</v>
      </c>
      <c r="B160" s="217">
        <v>0.9388888888888889</v>
      </c>
      <c r="C160" s="206"/>
      <c r="D160" s="206">
        <v>1.0173611111111112</v>
      </c>
      <c r="E160" s="217">
        <v>0.88125</v>
      </c>
      <c r="F160" s="206">
        <v>1.0118055555555556</v>
      </c>
      <c r="G160" s="185" t="s">
        <v>362</v>
      </c>
    </row>
    <row r="161">
      <c r="A161" s="183">
        <v>1950.0</v>
      </c>
      <c r="B161" s="217">
        <v>0.7770833333333333</v>
      </c>
      <c r="C161" s="217"/>
      <c r="D161" s="217">
        <v>0.8631944444444445</v>
      </c>
      <c r="E161" s="217">
        <v>0.7118055555555556</v>
      </c>
      <c r="F161" s="217">
        <v>0.8618055555555556</v>
      </c>
      <c r="G161" s="185" t="s">
        <v>363</v>
      </c>
    </row>
    <row r="162">
      <c r="A162" s="183">
        <v>1949.0</v>
      </c>
      <c r="B162" s="217">
        <v>0.6416666666666667</v>
      </c>
      <c r="C162" s="217"/>
      <c r="D162" s="217">
        <v>0.7215277777777778</v>
      </c>
      <c r="E162" s="217">
        <v>0.5798611111111112</v>
      </c>
      <c r="F162" s="217">
        <v>0.7194444444444444</v>
      </c>
      <c r="G162" s="185" t="s">
        <v>364</v>
      </c>
    </row>
    <row r="163">
      <c r="A163" s="183">
        <v>1948.0</v>
      </c>
      <c r="B163" s="217">
        <v>0.6604166666666667</v>
      </c>
      <c r="C163" s="217"/>
      <c r="D163" s="217">
        <v>0.7125</v>
      </c>
      <c r="E163" s="217">
        <v>0.6</v>
      </c>
      <c r="F163" s="217">
        <v>0.6388888888888888</v>
      </c>
      <c r="G163" s="193" t="s">
        <v>365</v>
      </c>
    </row>
    <row r="164">
      <c r="A164" s="183">
        <v>1947.0</v>
      </c>
      <c r="B164" s="217">
        <v>0.6354166666666666</v>
      </c>
      <c r="C164" s="217"/>
      <c r="D164" s="217">
        <v>0.6805555555555556</v>
      </c>
      <c r="E164" s="217">
        <v>0.5909722222222222</v>
      </c>
      <c r="F164" s="217">
        <v>0.6458333333333334</v>
      </c>
      <c r="G164" s="193" t="s">
        <v>248</v>
      </c>
    </row>
    <row r="165">
      <c r="A165" s="183">
        <v>1946.0</v>
      </c>
      <c r="B165" s="217">
        <v>0.7131944444444445</v>
      </c>
      <c r="C165" s="217"/>
      <c r="D165" s="217">
        <v>0.8090277777777778</v>
      </c>
      <c r="E165" s="217">
        <v>0.5916666666666667</v>
      </c>
      <c r="F165" s="217">
        <v>0.6458333333333334</v>
      </c>
      <c r="G165" s="193" t="s">
        <v>366</v>
      </c>
    </row>
    <row r="166">
      <c r="A166" s="183">
        <v>1945.0</v>
      </c>
      <c r="B166" s="217">
        <v>0.6347222222222222</v>
      </c>
      <c r="C166" s="217"/>
      <c r="D166" s="217">
        <v>0.7555555555555555</v>
      </c>
      <c r="E166" s="217">
        <v>0.55625</v>
      </c>
      <c r="F166" s="217">
        <v>0.7333333333333333</v>
      </c>
      <c r="G166" s="185" t="s">
        <v>367</v>
      </c>
    </row>
    <row r="167">
      <c r="A167" s="183">
        <v>1944.0</v>
      </c>
      <c r="B167" s="217">
        <v>0.5326388888888889</v>
      </c>
      <c r="C167" s="217"/>
      <c r="D167" s="217">
        <v>0.5618055555555556</v>
      </c>
      <c r="E167" s="217">
        <v>0.49722222222222223</v>
      </c>
      <c r="F167" s="217">
        <v>0.5611111111111111</v>
      </c>
      <c r="G167" s="185" t="s">
        <v>368</v>
      </c>
    </row>
    <row r="168">
      <c r="A168" s="183">
        <v>1943.0</v>
      </c>
      <c r="B168" s="217">
        <v>0.49444444444444446</v>
      </c>
      <c r="C168" s="217"/>
      <c r="D168" s="217">
        <v>0.5444444444444444</v>
      </c>
      <c r="E168" s="217">
        <v>0.43333333333333335</v>
      </c>
      <c r="F168" s="217">
        <v>0.5048611111111111</v>
      </c>
      <c r="G168" s="185" t="s">
        <v>369</v>
      </c>
    </row>
    <row r="169">
      <c r="A169" s="183">
        <v>1942.0</v>
      </c>
      <c r="B169" s="217">
        <v>0.3798611111111111</v>
      </c>
      <c r="C169" s="217"/>
      <c r="D169" s="217">
        <v>0.4284722222222222</v>
      </c>
      <c r="E169" s="217">
        <v>0.32430555555555557</v>
      </c>
      <c r="F169" s="217">
        <v>0.4284722222222222</v>
      </c>
      <c r="G169" s="185" t="s">
        <v>370</v>
      </c>
    </row>
    <row r="170">
      <c r="A170" s="183">
        <v>1941.0</v>
      </c>
      <c r="B170" s="217">
        <v>0.4326388888888889</v>
      </c>
      <c r="C170" s="217"/>
      <c r="D170" s="217">
        <v>0.47638888888888886</v>
      </c>
      <c r="E170" s="217">
        <v>0.3590277777777778</v>
      </c>
      <c r="F170" s="217">
        <v>0.38125</v>
      </c>
      <c r="G170" s="193" t="s">
        <v>371</v>
      </c>
    </row>
    <row r="171">
      <c r="A171" s="183">
        <v>1940.0</v>
      </c>
      <c r="B171" s="217">
        <v>0.45902777777777776</v>
      </c>
      <c r="C171" s="217"/>
      <c r="D171" s="217">
        <v>0.5534722222222223</v>
      </c>
      <c r="E171" s="217">
        <v>0.40208333333333335</v>
      </c>
      <c r="F171" s="217">
        <v>0.45694444444444443</v>
      </c>
      <c r="G171" s="193" t="s">
        <v>372</v>
      </c>
    </row>
    <row r="172">
      <c r="A172" s="183">
        <v>1939.0</v>
      </c>
      <c r="B172" s="217">
        <v>0.5034722222222222</v>
      </c>
      <c r="C172" s="217"/>
      <c r="D172" s="217">
        <v>0.5576388888888889</v>
      </c>
      <c r="E172" s="217">
        <v>0.42916666666666664</v>
      </c>
      <c r="F172" s="217">
        <v>0.5340277777777778</v>
      </c>
      <c r="G172" s="193" t="s">
        <v>373</v>
      </c>
    </row>
    <row r="173">
      <c r="A173" s="183">
        <v>1938.0</v>
      </c>
      <c r="B173" s="217">
        <v>0.49166666666666664</v>
      </c>
      <c r="C173" s="217"/>
      <c r="D173" s="217">
        <v>0.6048611111111111</v>
      </c>
      <c r="E173" s="217">
        <v>0.3680555555555556</v>
      </c>
      <c r="F173" s="217">
        <v>0.55625</v>
      </c>
      <c r="G173" s="185" t="s">
        <v>374</v>
      </c>
    </row>
    <row r="174">
      <c r="A174" s="183">
        <v>1937.0</v>
      </c>
      <c r="B174" s="217">
        <v>0.6534722222222222</v>
      </c>
      <c r="C174" s="217"/>
      <c r="D174" s="217">
        <v>0.7972222222222223</v>
      </c>
      <c r="E174" s="217">
        <v>0.4284722222222222</v>
      </c>
      <c r="F174" s="217">
        <v>0.4548611111111111</v>
      </c>
      <c r="G174" s="193" t="s">
        <v>375</v>
      </c>
    </row>
    <row r="175">
      <c r="A175" s="183">
        <v>1936.0</v>
      </c>
      <c r="B175" s="217">
        <v>0.65625</v>
      </c>
      <c r="C175" s="217"/>
      <c r="D175" s="217">
        <v>0.75625</v>
      </c>
      <c r="E175" s="217">
        <v>0.5694444444444444</v>
      </c>
      <c r="F175" s="217">
        <v>0.7208333333333333</v>
      </c>
      <c r="G175" s="185" t="s">
        <v>376</v>
      </c>
    </row>
    <row r="176">
      <c r="A176" s="183">
        <v>1935.0</v>
      </c>
      <c r="B176" s="217">
        <v>0.45694444444444443</v>
      </c>
      <c r="C176" s="217"/>
      <c r="D176" s="217">
        <v>0.5736111111111111</v>
      </c>
      <c r="E176" s="217">
        <v>0.3375</v>
      </c>
      <c r="F176" s="217">
        <v>0.5715277777777777</v>
      </c>
      <c r="G176" s="185" t="s">
        <v>377</v>
      </c>
    </row>
    <row r="177">
      <c r="A177" s="183">
        <v>1934.0</v>
      </c>
      <c r="B177" s="217">
        <v>0.4326388888888889</v>
      </c>
      <c r="C177" s="217"/>
      <c r="D177" s="217">
        <v>0.5152777777777777</v>
      </c>
      <c r="E177" s="217">
        <v>0.35833333333333334</v>
      </c>
      <c r="F177" s="217">
        <v>0.4097222222222222</v>
      </c>
      <c r="G177" s="193" t="s">
        <v>378</v>
      </c>
    </row>
    <row r="178">
      <c r="A178" s="183">
        <v>1933.0</v>
      </c>
      <c r="B178" s="217">
        <v>0.37777777777777777</v>
      </c>
      <c r="C178" s="217"/>
      <c r="D178" s="217">
        <v>0.5138888888888888</v>
      </c>
      <c r="E178" s="217">
        <v>0.24513888888888888</v>
      </c>
      <c r="F178" s="217">
        <v>0.4236111111111111</v>
      </c>
      <c r="G178" s="185" t="s">
        <v>379</v>
      </c>
    </row>
    <row r="179">
      <c r="A179" s="183">
        <v>1932.0</v>
      </c>
      <c r="B179" s="217">
        <v>0.3138888888888889</v>
      </c>
      <c r="C179" s="217"/>
      <c r="D179" s="217">
        <v>0.39652777777777776</v>
      </c>
      <c r="E179" s="217">
        <v>0.19444444444444445</v>
      </c>
      <c r="F179" s="217">
        <v>0.31180555555555556</v>
      </c>
      <c r="G179" s="193" t="s">
        <v>380</v>
      </c>
    </row>
    <row r="180">
      <c r="A180" s="183">
        <v>1931.0</v>
      </c>
      <c r="B180" s="217">
        <v>0.5875</v>
      </c>
      <c r="C180" s="217"/>
      <c r="D180" s="217">
        <v>0.7618055555555555</v>
      </c>
      <c r="E180" s="217">
        <v>0.3416666666666667</v>
      </c>
      <c r="F180" s="217">
        <v>0.3416666666666667</v>
      </c>
      <c r="G180" s="193" t="s">
        <v>381</v>
      </c>
    </row>
    <row r="181">
      <c r="A181" s="183">
        <v>1930.0</v>
      </c>
      <c r="B181" s="217">
        <v>0.875</v>
      </c>
      <c r="C181" s="206"/>
      <c r="D181" s="206">
        <v>1.1055555555555556</v>
      </c>
      <c r="E181" s="217">
        <v>0.6138888888888889</v>
      </c>
      <c r="F181" s="217">
        <v>0.6486111111111111</v>
      </c>
      <c r="G181" s="193" t="s">
        <v>382</v>
      </c>
    </row>
    <row r="182">
      <c r="A182" s="183">
        <v>1929.0</v>
      </c>
      <c r="B182" s="206">
        <v>1.0965277777777778</v>
      </c>
      <c r="C182" s="206"/>
      <c r="D182" s="206">
        <v>1.351388888888889</v>
      </c>
      <c r="E182" s="217">
        <v>0.7541666666666667</v>
      </c>
      <c r="F182" s="217">
        <v>0.90625</v>
      </c>
      <c r="G182" s="193" t="s">
        <v>383</v>
      </c>
    </row>
    <row r="183">
      <c r="A183" s="183">
        <v>1928.0</v>
      </c>
      <c r="B183" s="217">
        <v>0.8569444444444444</v>
      </c>
      <c r="C183" s="206"/>
      <c r="D183" s="206">
        <v>1.0243055555555556</v>
      </c>
      <c r="E183" s="217">
        <v>0.7326388888888888</v>
      </c>
      <c r="F183" s="206">
        <v>1.0243055555555556</v>
      </c>
      <c r="G183" s="185" t="s">
        <v>384</v>
      </c>
    </row>
    <row r="184">
      <c r="C184" s="152"/>
      <c r="D184" s="152"/>
      <c r="E184" s="135"/>
    </row>
    <row r="185">
      <c r="C185" s="152"/>
      <c r="D185" s="152"/>
      <c r="E185" s="135"/>
    </row>
    <row r="186">
      <c r="A186" s="218"/>
      <c r="B186" s="219"/>
      <c r="C186" s="219"/>
      <c r="D186" s="219"/>
      <c r="E186" s="219"/>
      <c r="F186" s="219"/>
      <c r="G186" s="219"/>
    </row>
    <row r="187">
      <c r="C187" s="152"/>
      <c r="D187" s="152"/>
      <c r="E187" s="135"/>
    </row>
    <row r="188">
      <c r="C188" s="152"/>
      <c r="D188" s="152"/>
      <c r="E188" s="135"/>
    </row>
    <row r="189">
      <c r="C189" s="152"/>
      <c r="D189" s="152"/>
      <c r="E189" s="135"/>
    </row>
    <row r="190">
      <c r="C190" s="152"/>
      <c r="D190" s="152"/>
      <c r="E190" s="135"/>
    </row>
    <row r="191">
      <c r="C191" s="152"/>
      <c r="D191" s="152"/>
      <c r="E191" s="135"/>
    </row>
    <row r="192">
      <c r="C192" s="152"/>
      <c r="D192" s="152"/>
      <c r="E192" s="135"/>
    </row>
    <row r="193">
      <c r="C193" s="152"/>
      <c r="D193" s="152"/>
      <c r="E193" s="135"/>
    </row>
    <row r="194">
      <c r="K194" s="220"/>
      <c r="L194" s="220"/>
      <c r="M194" s="220"/>
      <c r="N194" s="220"/>
      <c r="O194" s="220"/>
    </row>
    <row r="195">
      <c r="K195" s="221"/>
      <c r="L195" s="221"/>
      <c r="M195" s="221"/>
      <c r="N195" s="221"/>
      <c r="O195" s="221"/>
    </row>
    <row r="196">
      <c r="K196" s="221"/>
      <c r="L196" s="221"/>
      <c r="M196" s="221"/>
      <c r="N196" s="221"/>
      <c r="O196" s="221"/>
    </row>
    <row r="197">
      <c r="K197" s="221"/>
      <c r="L197" s="221"/>
      <c r="M197" s="221"/>
      <c r="N197" s="221"/>
      <c r="O197" s="221"/>
    </row>
    <row r="198">
      <c r="K198" s="221"/>
      <c r="L198" s="221"/>
      <c r="M198" s="221"/>
      <c r="N198" s="221"/>
      <c r="O198" s="221"/>
    </row>
    <row r="199">
      <c r="K199" s="221"/>
      <c r="L199" s="221"/>
      <c r="M199" s="221"/>
      <c r="N199" s="221"/>
      <c r="O199" s="221"/>
    </row>
    <row r="200">
      <c r="K200" s="221"/>
      <c r="L200" s="221"/>
      <c r="M200" s="221"/>
      <c r="N200" s="221"/>
      <c r="O200" s="221"/>
    </row>
    <row r="201">
      <c r="K201" s="221"/>
      <c r="L201" s="221"/>
      <c r="M201" s="221"/>
      <c r="N201" s="221"/>
      <c r="O201" s="221"/>
    </row>
    <row r="202">
      <c r="K202" s="221"/>
      <c r="L202" s="221"/>
      <c r="M202" s="221"/>
      <c r="N202" s="221"/>
      <c r="O202" s="221"/>
    </row>
    <row r="203">
      <c r="K203" s="221"/>
      <c r="L203" s="221"/>
      <c r="M203" s="221"/>
      <c r="N203" s="221"/>
      <c r="O203" s="221"/>
    </row>
    <row r="204">
      <c r="K204" s="221"/>
      <c r="L204" s="221"/>
      <c r="M204" s="221"/>
      <c r="N204" s="221"/>
      <c r="O204" s="221"/>
    </row>
    <row r="205">
      <c r="A205" s="84"/>
      <c r="B205" s="84"/>
      <c r="C205" s="84"/>
      <c r="D205" s="84"/>
      <c r="K205" s="221"/>
      <c r="L205" s="221"/>
      <c r="M205" s="221"/>
      <c r="N205" s="221"/>
      <c r="O205" s="221"/>
    </row>
    <row r="206">
      <c r="A206" s="84"/>
      <c r="B206" s="84"/>
      <c r="C206" s="152"/>
      <c r="D206" s="152"/>
      <c r="E206" s="135"/>
    </row>
    <row r="207">
      <c r="A207" s="84"/>
      <c r="B207" s="84"/>
      <c r="C207" s="152"/>
      <c r="D207" s="152"/>
      <c r="E207" s="135"/>
    </row>
    <row r="208">
      <c r="A208" s="84"/>
      <c r="B208" s="84"/>
      <c r="C208" s="152"/>
      <c r="D208" s="152"/>
      <c r="E208" s="135"/>
    </row>
    <row r="209">
      <c r="A209" s="84"/>
      <c r="B209" s="84"/>
      <c r="C209" s="152"/>
      <c r="D209" s="152"/>
      <c r="E209" s="135"/>
    </row>
    <row r="210">
      <c r="B210" s="84"/>
      <c r="C210" s="152"/>
      <c r="D210" s="152"/>
      <c r="E210" s="135"/>
    </row>
    <row r="211">
      <c r="B211" s="222"/>
      <c r="C211" s="152"/>
      <c r="D211" s="152"/>
      <c r="E211" s="135"/>
    </row>
    <row r="212">
      <c r="C212" s="152"/>
      <c r="D212" s="152"/>
      <c r="E212" s="135"/>
    </row>
    <row r="213">
      <c r="C213" s="152"/>
      <c r="D213" s="152"/>
      <c r="E213" s="135"/>
    </row>
    <row r="214">
      <c r="C214" s="152"/>
      <c r="D214" s="152"/>
      <c r="E214" s="135"/>
    </row>
    <row r="215">
      <c r="C215" s="152"/>
      <c r="D215" s="152"/>
      <c r="E215" s="135"/>
    </row>
    <row r="216">
      <c r="C216" s="152"/>
      <c r="D216" s="152"/>
      <c r="E216" s="135"/>
    </row>
    <row r="217">
      <c r="C217" s="152"/>
      <c r="D217" s="152"/>
      <c r="E217" s="135"/>
    </row>
    <row r="218">
      <c r="C218" s="152"/>
      <c r="D218" s="152"/>
      <c r="E218" s="135"/>
    </row>
    <row r="219">
      <c r="C219" s="152"/>
      <c r="D219" s="152"/>
      <c r="E219" s="135"/>
    </row>
    <row r="220">
      <c r="C220" s="152"/>
      <c r="D220" s="152"/>
      <c r="E220" s="135"/>
    </row>
    <row r="221">
      <c r="C221" s="152"/>
      <c r="D221" s="152"/>
      <c r="E221" s="135"/>
    </row>
    <row r="222">
      <c r="C222" s="152"/>
      <c r="D222" s="152"/>
      <c r="E222" s="135"/>
    </row>
    <row r="223">
      <c r="C223" s="152"/>
      <c r="D223" s="152"/>
      <c r="E223" s="135"/>
    </row>
    <row r="224">
      <c r="A224" s="84"/>
      <c r="C224" s="152"/>
      <c r="D224" s="152"/>
      <c r="E224" s="135"/>
    </row>
    <row r="225">
      <c r="A225" s="84"/>
      <c r="C225" s="152"/>
      <c r="D225" s="152"/>
      <c r="E225" s="135"/>
    </row>
    <row r="226">
      <c r="C226" s="152"/>
      <c r="D226" s="152"/>
      <c r="E226" s="135"/>
    </row>
    <row r="227">
      <c r="A227" s="84"/>
      <c r="B227" s="84"/>
      <c r="C227" s="152"/>
      <c r="D227" s="152"/>
      <c r="E227" s="135"/>
      <c r="F227" s="84"/>
    </row>
    <row r="228">
      <c r="A228" s="84"/>
      <c r="B228" s="84"/>
      <c r="C228" s="158"/>
      <c r="D228" s="158"/>
      <c r="E228" s="135"/>
    </row>
    <row r="229">
      <c r="A229" s="84"/>
      <c r="B229" s="84"/>
      <c r="C229" s="158"/>
      <c r="D229" s="158"/>
      <c r="E229" s="135"/>
    </row>
    <row r="230">
      <c r="A230" s="84"/>
      <c r="B230" s="84"/>
      <c r="C230" s="158"/>
      <c r="D230" s="158"/>
      <c r="E230" s="135"/>
    </row>
    <row r="231">
      <c r="A231" s="84"/>
      <c r="B231" s="84"/>
      <c r="C231" s="158"/>
      <c r="D231" s="158"/>
      <c r="E231" s="135"/>
    </row>
    <row r="232">
      <c r="A232" s="223"/>
      <c r="B232" s="224"/>
      <c r="C232" s="225"/>
      <c r="D232" s="225"/>
      <c r="E232" s="226"/>
      <c r="F232" s="227"/>
    </row>
    <row r="233">
      <c r="C233" s="152"/>
      <c r="D233" s="152"/>
      <c r="E233" s="135"/>
    </row>
    <row r="234">
      <c r="C234" s="152"/>
      <c r="D234" s="152"/>
      <c r="E234" s="135"/>
    </row>
    <row r="235">
      <c r="C235" s="152"/>
      <c r="D235" s="152"/>
      <c r="E235" s="135"/>
    </row>
    <row r="236">
      <c r="C236" s="152"/>
      <c r="D236" s="152"/>
      <c r="E236" s="135"/>
    </row>
    <row r="237">
      <c r="C237" s="152"/>
      <c r="D237" s="152"/>
      <c r="E237" s="135"/>
    </row>
    <row r="238">
      <c r="C238" s="152"/>
      <c r="D238" s="152"/>
      <c r="E238" s="135"/>
    </row>
    <row r="239">
      <c r="C239" s="152"/>
      <c r="D239" s="152"/>
      <c r="E239" s="135"/>
    </row>
    <row r="240">
      <c r="C240" s="152"/>
      <c r="D240" s="152"/>
      <c r="E240" s="135"/>
    </row>
    <row r="241">
      <c r="C241" s="152"/>
      <c r="D241" s="152"/>
      <c r="E241" s="135"/>
    </row>
    <row r="242">
      <c r="C242" s="152"/>
      <c r="D242" s="152"/>
      <c r="E242" s="135"/>
    </row>
    <row r="243">
      <c r="C243" s="152"/>
      <c r="D243" s="152"/>
      <c r="E243" s="135"/>
    </row>
    <row r="244">
      <c r="C244" s="152"/>
      <c r="D244" s="152"/>
      <c r="E244" s="135"/>
    </row>
    <row r="245">
      <c r="C245" s="152"/>
      <c r="D245" s="152"/>
      <c r="E245" s="135"/>
    </row>
    <row r="246">
      <c r="C246" s="152"/>
      <c r="D246" s="152"/>
      <c r="E246" s="135"/>
    </row>
    <row r="247">
      <c r="C247" s="152"/>
      <c r="D247" s="152"/>
      <c r="E247" s="135"/>
    </row>
    <row r="248">
      <c r="C248" s="152"/>
      <c r="D248" s="152"/>
      <c r="E248" s="135"/>
    </row>
    <row r="249">
      <c r="C249" s="152"/>
      <c r="D249" s="152"/>
      <c r="E249" s="135"/>
    </row>
    <row r="250">
      <c r="C250" s="152"/>
      <c r="D250" s="152"/>
      <c r="E250" s="135"/>
    </row>
    <row r="251">
      <c r="C251" s="152"/>
      <c r="D251" s="152"/>
      <c r="E251" s="135"/>
    </row>
    <row r="252">
      <c r="C252" s="152"/>
      <c r="D252" s="152"/>
      <c r="E252" s="135"/>
    </row>
    <row r="253">
      <c r="C253" s="152"/>
      <c r="D253" s="152"/>
      <c r="E253" s="135"/>
    </row>
    <row r="254">
      <c r="C254" s="152"/>
      <c r="D254" s="152"/>
      <c r="E254" s="135"/>
    </row>
    <row r="255">
      <c r="C255" s="152"/>
      <c r="D255" s="152"/>
      <c r="E255" s="135"/>
    </row>
    <row r="256">
      <c r="C256" s="152"/>
      <c r="D256" s="152"/>
      <c r="E256" s="135"/>
    </row>
    <row r="257">
      <c r="C257" s="152"/>
      <c r="D257" s="152"/>
      <c r="E257" s="135"/>
    </row>
    <row r="258">
      <c r="C258" s="152"/>
      <c r="D258" s="152"/>
      <c r="E258" s="135"/>
    </row>
    <row r="259">
      <c r="C259" s="152"/>
      <c r="D259" s="152"/>
      <c r="E259" s="135"/>
    </row>
    <row r="260">
      <c r="C260" s="152"/>
      <c r="D260" s="152"/>
      <c r="E260" s="135"/>
    </row>
    <row r="261">
      <c r="C261" s="152"/>
      <c r="D261" s="152"/>
      <c r="E261" s="135"/>
    </row>
    <row r="262">
      <c r="C262" s="152"/>
      <c r="D262" s="152"/>
      <c r="E262" s="135"/>
    </row>
    <row r="263">
      <c r="C263" s="152"/>
      <c r="D263" s="152"/>
      <c r="E263" s="135"/>
    </row>
    <row r="264">
      <c r="C264" s="152"/>
      <c r="D264" s="152"/>
      <c r="E264" s="135"/>
    </row>
    <row r="265">
      <c r="C265" s="152"/>
      <c r="D265" s="152"/>
      <c r="E265" s="135"/>
    </row>
    <row r="266">
      <c r="C266" s="152"/>
      <c r="D266" s="152"/>
      <c r="E266" s="135"/>
    </row>
    <row r="267">
      <c r="C267" s="152"/>
      <c r="D267" s="152"/>
      <c r="E267" s="135"/>
    </row>
    <row r="268">
      <c r="C268" s="152"/>
      <c r="D268" s="152"/>
      <c r="E268" s="135"/>
    </row>
    <row r="269">
      <c r="C269" s="152"/>
      <c r="D269" s="152"/>
      <c r="E269" s="135"/>
    </row>
    <row r="270">
      <c r="C270" s="152"/>
      <c r="D270" s="152"/>
      <c r="E270" s="135"/>
    </row>
    <row r="271">
      <c r="C271" s="152"/>
      <c r="D271" s="152"/>
      <c r="E271" s="135"/>
    </row>
    <row r="272">
      <c r="C272" s="152"/>
      <c r="D272" s="152"/>
      <c r="E272" s="135"/>
    </row>
    <row r="273">
      <c r="C273" s="152"/>
      <c r="D273" s="152"/>
      <c r="E273" s="135"/>
    </row>
    <row r="274">
      <c r="C274" s="152"/>
      <c r="D274" s="152"/>
      <c r="E274" s="135"/>
    </row>
    <row r="275">
      <c r="C275" s="152"/>
      <c r="D275" s="152"/>
      <c r="E275" s="135"/>
    </row>
    <row r="276">
      <c r="C276" s="152"/>
      <c r="D276" s="152"/>
      <c r="E276" s="135"/>
    </row>
    <row r="277">
      <c r="C277" s="152"/>
      <c r="D277" s="152"/>
      <c r="E277" s="135"/>
    </row>
    <row r="278">
      <c r="C278" s="152"/>
      <c r="D278" s="152"/>
      <c r="E278" s="135"/>
    </row>
    <row r="279">
      <c r="C279" s="152"/>
      <c r="D279" s="152"/>
      <c r="E279" s="135"/>
    </row>
    <row r="280">
      <c r="C280" s="152"/>
      <c r="D280" s="152"/>
      <c r="E280" s="135"/>
    </row>
    <row r="281">
      <c r="C281" s="152"/>
      <c r="D281" s="152"/>
      <c r="E281" s="135"/>
    </row>
    <row r="282">
      <c r="C282" s="152"/>
      <c r="D282" s="152"/>
      <c r="E282" s="135"/>
    </row>
    <row r="283">
      <c r="C283" s="152"/>
      <c r="D283" s="152"/>
      <c r="E283" s="135"/>
    </row>
    <row r="284">
      <c r="C284" s="152"/>
      <c r="D284" s="152"/>
      <c r="E284" s="135"/>
    </row>
    <row r="285">
      <c r="C285" s="152"/>
      <c r="D285" s="152"/>
      <c r="E285" s="135"/>
    </row>
    <row r="286">
      <c r="C286" s="152"/>
      <c r="D286" s="152"/>
      <c r="E286" s="135"/>
    </row>
    <row r="287">
      <c r="C287" s="152"/>
      <c r="D287" s="152"/>
      <c r="E287" s="135"/>
    </row>
    <row r="288">
      <c r="C288" s="152"/>
      <c r="D288" s="152"/>
      <c r="E288" s="135"/>
    </row>
    <row r="289">
      <c r="C289" s="152"/>
      <c r="D289" s="152"/>
      <c r="E289" s="135"/>
    </row>
    <row r="290">
      <c r="C290" s="152"/>
      <c r="D290" s="152"/>
      <c r="E290" s="135"/>
    </row>
    <row r="291">
      <c r="C291" s="152"/>
      <c r="D291" s="152"/>
      <c r="E291" s="135"/>
    </row>
    <row r="292">
      <c r="C292" s="152"/>
      <c r="D292" s="152"/>
      <c r="E292" s="135"/>
    </row>
    <row r="293">
      <c r="C293" s="152"/>
      <c r="D293" s="152"/>
      <c r="E293" s="135"/>
    </row>
    <row r="294">
      <c r="C294" s="152"/>
      <c r="D294" s="152"/>
      <c r="E294" s="135"/>
    </row>
    <row r="295">
      <c r="C295" s="152"/>
      <c r="D295" s="152"/>
      <c r="E295" s="135"/>
    </row>
    <row r="296">
      <c r="C296" s="152"/>
      <c r="D296" s="152"/>
      <c r="E296" s="135"/>
    </row>
    <row r="297">
      <c r="C297" s="152"/>
      <c r="D297" s="152"/>
      <c r="E297" s="135"/>
    </row>
    <row r="298">
      <c r="C298" s="152"/>
      <c r="D298" s="152"/>
      <c r="E298" s="135"/>
    </row>
    <row r="299">
      <c r="C299" s="152"/>
      <c r="D299" s="152"/>
      <c r="E299" s="135"/>
    </row>
    <row r="300">
      <c r="C300" s="152"/>
      <c r="D300" s="152"/>
      <c r="E300" s="135"/>
    </row>
    <row r="301">
      <c r="C301" s="152"/>
      <c r="D301" s="152"/>
      <c r="E301" s="135"/>
    </row>
    <row r="302">
      <c r="C302" s="152"/>
      <c r="D302" s="152"/>
      <c r="E302" s="135"/>
    </row>
    <row r="303">
      <c r="C303" s="152"/>
      <c r="D303" s="152"/>
      <c r="E303" s="135"/>
    </row>
    <row r="304">
      <c r="C304" s="152"/>
      <c r="D304" s="152"/>
      <c r="E304" s="135"/>
    </row>
    <row r="305">
      <c r="C305" s="152"/>
      <c r="D305" s="152"/>
      <c r="E305" s="135"/>
    </row>
    <row r="306">
      <c r="C306" s="152"/>
      <c r="D306" s="152"/>
      <c r="E306" s="135"/>
    </row>
    <row r="307">
      <c r="C307" s="152"/>
      <c r="D307" s="152"/>
      <c r="E307" s="135"/>
    </row>
    <row r="308">
      <c r="C308" s="152"/>
      <c r="D308" s="152"/>
      <c r="E308" s="135"/>
    </row>
    <row r="309">
      <c r="C309" s="152"/>
      <c r="D309" s="152"/>
      <c r="E309" s="135"/>
    </row>
    <row r="310">
      <c r="C310" s="152"/>
      <c r="D310" s="152"/>
      <c r="E310" s="135"/>
    </row>
    <row r="311">
      <c r="C311" s="152"/>
      <c r="D311" s="152"/>
      <c r="E311" s="135"/>
    </row>
    <row r="312">
      <c r="C312" s="152"/>
      <c r="D312" s="152"/>
      <c r="E312" s="135"/>
    </row>
    <row r="313">
      <c r="C313" s="152"/>
      <c r="D313" s="152"/>
      <c r="E313" s="135"/>
    </row>
    <row r="314">
      <c r="C314" s="152"/>
      <c r="D314" s="152"/>
      <c r="E314" s="135"/>
    </row>
    <row r="315">
      <c r="C315" s="152"/>
      <c r="D315" s="152"/>
      <c r="E315" s="135"/>
    </row>
    <row r="316">
      <c r="C316" s="152"/>
      <c r="D316" s="152"/>
      <c r="E316" s="135"/>
    </row>
    <row r="317">
      <c r="C317" s="152"/>
      <c r="D317" s="152"/>
      <c r="E317" s="135"/>
    </row>
    <row r="318">
      <c r="C318" s="152"/>
      <c r="D318" s="152"/>
      <c r="E318" s="135"/>
    </row>
    <row r="319">
      <c r="C319" s="152"/>
      <c r="D319" s="152"/>
      <c r="E319" s="135"/>
    </row>
    <row r="320">
      <c r="C320" s="152"/>
      <c r="D320" s="152"/>
      <c r="E320" s="135"/>
    </row>
    <row r="321">
      <c r="C321" s="152"/>
      <c r="D321" s="152"/>
      <c r="E321" s="135"/>
    </row>
    <row r="322">
      <c r="C322" s="152"/>
      <c r="D322" s="152"/>
      <c r="E322" s="135"/>
    </row>
    <row r="323">
      <c r="C323" s="152"/>
      <c r="D323" s="152"/>
      <c r="E323" s="135"/>
    </row>
    <row r="324">
      <c r="C324" s="152"/>
      <c r="D324" s="152"/>
      <c r="E324" s="135"/>
    </row>
    <row r="325">
      <c r="C325" s="152"/>
      <c r="D325" s="152"/>
      <c r="E325" s="135"/>
    </row>
    <row r="326">
      <c r="C326" s="152"/>
      <c r="D326" s="152"/>
      <c r="E326" s="135"/>
    </row>
    <row r="327">
      <c r="C327" s="152"/>
      <c r="D327" s="152"/>
      <c r="E327" s="135"/>
    </row>
    <row r="328">
      <c r="C328" s="152"/>
      <c r="D328" s="152"/>
      <c r="E328" s="135"/>
    </row>
    <row r="329">
      <c r="C329" s="152"/>
      <c r="D329" s="152"/>
      <c r="E329" s="135"/>
    </row>
    <row r="330">
      <c r="C330" s="152"/>
      <c r="D330" s="152"/>
      <c r="E330" s="135"/>
    </row>
    <row r="331">
      <c r="C331" s="152"/>
      <c r="D331" s="152"/>
      <c r="E331" s="135"/>
    </row>
    <row r="332">
      <c r="C332" s="152"/>
      <c r="D332" s="152"/>
      <c r="E332" s="135"/>
    </row>
    <row r="333">
      <c r="C333" s="152"/>
      <c r="D333" s="152"/>
      <c r="E333" s="135"/>
    </row>
    <row r="334">
      <c r="C334" s="152"/>
      <c r="D334" s="152"/>
      <c r="E334" s="135"/>
    </row>
    <row r="335">
      <c r="C335" s="152"/>
      <c r="D335" s="152"/>
      <c r="E335" s="135"/>
    </row>
    <row r="336">
      <c r="C336" s="152"/>
      <c r="D336" s="152"/>
      <c r="E336" s="135"/>
    </row>
    <row r="337">
      <c r="C337" s="152"/>
      <c r="D337" s="152"/>
      <c r="E337" s="135"/>
    </row>
    <row r="338">
      <c r="C338" s="152"/>
      <c r="D338" s="152"/>
      <c r="E338" s="135"/>
    </row>
    <row r="339">
      <c r="C339" s="152"/>
      <c r="D339" s="152"/>
      <c r="E339" s="135"/>
    </row>
    <row r="340">
      <c r="C340" s="152"/>
      <c r="D340" s="152"/>
      <c r="E340" s="135"/>
    </row>
    <row r="341">
      <c r="C341" s="152"/>
      <c r="D341" s="152"/>
      <c r="E341" s="135"/>
    </row>
    <row r="342">
      <c r="C342" s="152"/>
      <c r="D342" s="152"/>
      <c r="E342" s="135"/>
    </row>
    <row r="343">
      <c r="C343" s="152"/>
      <c r="D343" s="152"/>
      <c r="E343" s="135"/>
    </row>
    <row r="344">
      <c r="C344" s="152"/>
      <c r="D344" s="152"/>
      <c r="E344" s="135"/>
    </row>
    <row r="345">
      <c r="C345" s="152"/>
      <c r="D345" s="152"/>
      <c r="E345" s="135"/>
    </row>
    <row r="346">
      <c r="C346" s="152"/>
      <c r="D346" s="152"/>
      <c r="E346" s="135"/>
    </row>
    <row r="347">
      <c r="C347" s="152"/>
      <c r="D347" s="152"/>
      <c r="E347" s="135"/>
    </row>
    <row r="348">
      <c r="C348" s="152"/>
      <c r="D348" s="152"/>
      <c r="E348" s="135"/>
    </row>
    <row r="349">
      <c r="C349" s="152"/>
      <c r="D349" s="152"/>
      <c r="E349" s="135"/>
    </row>
    <row r="350">
      <c r="C350" s="152"/>
      <c r="D350" s="152"/>
      <c r="E350" s="135"/>
    </row>
    <row r="351">
      <c r="C351" s="152"/>
      <c r="D351" s="152"/>
      <c r="E351" s="135"/>
    </row>
    <row r="352">
      <c r="C352" s="152"/>
      <c r="D352" s="152"/>
      <c r="E352" s="135"/>
    </row>
    <row r="353">
      <c r="C353" s="152"/>
      <c r="D353" s="152"/>
      <c r="E353" s="135"/>
    </row>
    <row r="354">
      <c r="C354" s="152"/>
      <c r="D354" s="152"/>
      <c r="E354" s="135"/>
    </row>
    <row r="355">
      <c r="C355" s="152"/>
      <c r="D355" s="152"/>
      <c r="E355" s="135"/>
    </row>
    <row r="356">
      <c r="C356" s="152"/>
      <c r="D356" s="152"/>
      <c r="E356" s="135"/>
    </row>
    <row r="357">
      <c r="C357" s="152"/>
      <c r="D357" s="152"/>
      <c r="E357" s="135"/>
    </row>
    <row r="358">
      <c r="C358" s="152"/>
      <c r="D358" s="152"/>
      <c r="E358" s="135"/>
    </row>
    <row r="359">
      <c r="C359" s="152"/>
      <c r="D359" s="152"/>
      <c r="E359" s="135"/>
    </row>
    <row r="360">
      <c r="C360" s="152"/>
      <c r="D360" s="152"/>
      <c r="E360" s="135"/>
    </row>
    <row r="361">
      <c r="C361" s="152"/>
      <c r="D361" s="152"/>
      <c r="E361" s="135"/>
    </row>
    <row r="362">
      <c r="C362" s="152"/>
      <c r="D362" s="152"/>
      <c r="E362" s="135"/>
    </row>
    <row r="363">
      <c r="C363" s="152"/>
      <c r="D363" s="152"/>
      <c r="E363" s="135"/>
    </row>
    <row r="364">
      <c r="C364" s="152"/>
      <c r="D364" s="152"/>
      <c r="E364" s="135"/>
    </row>
    <row r="365">
      <c r="C365" s="152"/>
      <c r="D365" s="152"/>
      <c r="E365" s="135"/>
    </row>
    <row r="366">
      <c r="C366" s="152"/>
      <c r="D366" s="152"/>
      <c r="E366" s="135"/>
    </row>
    <row r="367">
      <c r="C367" s="152"/>
      <c r="D367" s="152"/>
      <c r="E367" s="135"/>
    </row>
    <row r="368">
      <c r="C368" s="152"/>
      <c r="D368" s="152"/>
      <c r="E368" s="135"/>
    </row>
    <row r="369">
      <c r="C369" s="152"/>
      <c r="D369" s="152"/>
      <c r="E369" s="135"/>
    </row>
    <row r="370">
      <c r="C370" s="152"/>
      <c r="D370" s="152"/>
      <c r="E370" s="135"/>
    </row>
    <row r="371">
      <c r="C371" s="152"/>
      <c r="D371" s="152"/>
      <c r="E371" s="135"/>
    </row>
    <row r="372">
      <c r="C372" s="152"/>
      <c r="D372" s="152"/>
      <c r="E372" s="135"/>
    </row>
    <row r="373">
      <c r="C373" s="152"/>
      <c r="D373" s="152"/>
      <c r="E373" s="135"/>
    </row>
    <row r="374">
      <c r="C374" s="152"/>
      <c r="D374" s="152"/>
      <c r="E374" s="135"/>
    </row>
    <row r="375">
      <c r="C375" s="152"/>
      <c r="D375" s="152"/>
      <c r="E375" s="135"/>
    </row>
    <row r="376">
      <c r="C376" s="152"/>
      <c r="D376" s="152"/>
      <c r="E376" s="135"/>
    </row>
    <row r="377">
      <c r="C377" s="152"/>
      <c r="D377" s="152"/>
      <c r="E377" s="135"/>
    </row>
    <row r="378">
      <c r="C378" s="152"/>
      <c r="D378" s="152"/>
      <c r="E378" s="135"/>
    </row>
    <row r="379">
      <c r="C379" s="152"/>
      <c r="D379" s="152"/>
      <c r="E379" s="135"/>
    </row>
    <row r="380">
      <c r="C380" s="152"/>
      <c r="D380" s="152"/>
      <c r="E380" s="135"/>
    </row>
    <row r="381">
      <c r="C381" s="152"/>
      <c r="D381" s="152"/>
      <c r="E381" s="135"/>
    </row>
    <row r="382">
      <c r="C382" s="152"/>
      <c r="D382" s="152"/>
      <c r="E382" s="135"/>
    </row>
    <row r="383">
      <c r="C383" s="152"/>
      <c r="D383" s="152"/>
      <c r="E383" s="135"/>
    </row>
    <row r="384">
      <c r="C384" s="152"/>
      <c r="D384" s="152"/>
      <c r="E384" s="135"/>
    </row>
    <row r="385">
      <c r="C385" s="152"/>
      <c r="D385" s="152"/>
      <c r="E385" s="135"/>
    </row>
    <row r="386">
      <c r="C386" s="152"/>
      <c r="D386" s="152"/>
      <c r="E386" s="135"/>
    </row>
    <row r="387">
      <c r="C387" s="152"/>
      <c r="D387" s="152"/>
      <c r="E387" s="135"/>
    </row>
    <row r="388">
      <c r="C388" s="152"/>
      <c r="D388" s="152"/>
      <c r="E388" s="135"/>
    </row>
    <row r="389">
      <c r="C389" s="152"/>
      <c r="D389" s="152"/>
      <c r="E389" s="135"/>
    </row>
    <row r="390">
      <c r="C390" s="152"/>
      <c r="D390" s="152"/>
      <c r="E390" s="135"/>
    </row>
    <row r="391">
      <c r="C391" s="152"/>
      <c r="D391" s="152"/>
      <c r="E391" s="135"/>
    </row>
    <row r="392">
      <c r="C392" s="152"/>
      <c r="D392" s="152"/>
      <c r="E392" s="135"/>
    </row>
    <row r="393">
      <c r="C393" s="152"/>
      <c r="D393" s="152"/>
      <c r="E393" s="135"/>
    </row>
    <row r="394">
      <c r="C394" s="152"/>
      <c r="D394" s="152"/>
      <c r="E394" s="135"/>
    </row>
    <row r="395">
      <c r="C395" s="152"/>
      <c r="D395" s="152"/>
      <c r="E395" s="135"/>
    </row>
    <row r="396">
      <c r="C396" s="152"/>
      <c r="D396" s="152"/>
      <c r="E396" s="135"/>
    </row>
    <row r="397">
      <c r="C397" s="152"/>
      <c r="D397" s="152"/>
      <c r="E397" s="135"/>
    </row>
    <row r="398">
      <c r="C398" s="152"/>
      <c r="D398" s="152"/>
      <c r="E398" s="135"/>
    </row>
    <row r="399">
      <c r="C399" s="152"/>
      <c r="D399" s="152"/>
      <c r="E399" s="135"/>
    </row>
    <row r="400">
      <c r="C400" s="152"/>
      <c r="D400" s="152"/>
      <c r="E400" s="135"/>
    </row>
    <row r="401">
      <c r="C401" s="152"/>
      <c r="D401" s="152"/>
      <c r="E401" s="135"/>
    </row>
    <row r="402">
      <c r="C402" s="152"/>
      <c r="D402" s="152"/>
      <c r="E402" s="135"/>
    </row>
    <row r="403">
      <c r="C403" s="152"/>
      <c r="D403" s="152"/>
      <c r="E403" s="135"/>
    </row>
    <row r="404">
      <c r="C404" s="152"/>
      <c r="D404" s="152"/>
      <c r="E404" s="135"/>
    </row>
    <row r="405">
      <c r="C405" s="152"/>
      <c r="D405" s="152"/>
      <c r="E405" s="135"/>
    </row>
    <row r="406">
      <c r="C406" s="152"/>
      <c r="D406" s="152"/>
      <c r="E406" s="135"/>
    </row>
    <row r="407">
      <c r="C407" s="152"/>
      <c r="D407" s="152"/>
      <c r="E407" s="135"/>
    </row>
    <row r="408">
      <c r="C408" s="152"/>
      <c r="D408" s="152"/>
      <c r="E408" s="135"/>
    </row>
    <row r="409">
      <c r="C409" s="152"/>
      <c r="D409" s="152"/>
      <c r="E409" s="135"/>
    </row>
    <row r="410">
      <c r="C410" s="152"/>
      <c r="D410" s="152"/>
      <c r="E410" s="135"/>
    </row>
    <row r="411">
      <c r="C411" s="152"/>
      <c r="D411" s="152"/>
      <c r="E411" s="135"/>
    </row>
    <row r="412">
      <c r="C412" s="152"/>
      <c r="D412" s="152"/>
      <c r="E412" s="135"/>
    </row>
    <row r="413">
      <c r="C413" s="152"/>
      <c r="D413" s="152"/>
      <c r="E413" s="135"/>
    </row>
    <row r="414">
      <c r="C414" s="152"/>
      <c r="D414" s="152"/>
      <c r="E414" s="135"/>
    </row>
    <row r="415">
      <c r="C415" s="152"/>
      <c r="D415" s="152"/>
      <c r="E415" s="135"/>
    </row>
    <row r="416">
      <c r="C416" s="152"/>
      <c r="D416" s="152"/>
      <c r="E416" s="135"/>
    </row>
    <row r="417">
      <c r="C417" s="152"/>
      <c r="D417" s="152"/>
      <c r="E417" s="135"/>
    </row>
    <row r="418">
      <c r="C418" s="152"/>
      <c r="D418" s="152"/>
      <c r="E418" s="135"/>
    </row>
    <row r="419">
      <c r="C419" s="152"/>
      <c r="D419" s="152"/>
      <c r="E419" s="135"/>
    </row>
    <row r="420">
      <c r="C420" s="152"/>
      <c r="D420" s="152"/>
      <c r="E420" s="135"/>
    </row>
    <row r="421">
      <c r="C421" s="152"/>
      <c r="D421" s="152"/>
      <c r="E421" s="135"/>
    </row>
    <row r="422">
      <c r="C422" s="152"/>
      <c r="D422" s="152"/>
      <c r="E422" s="135"/>
    </row>
    <row r="423">
      <c r="C423" s="152"/>
      <c r="D423" s="152"/>
      <c r="E423" s="135"/>
    </row>
    <row r="424">
      <c r="C424" s="152"/>
      <c r="D424" s="152"/>
      <c r="E424" s="135"/>
    </row>
    <row r="425">
      <c r="C425" s="152"/>
      <c r="D425" s="152"/>
      <c r="E425" s="135"/>
    </row>
    <row r="426">
      <c r="C426" s="152"/>
      <c r="D426" s="152"/>
      <c r="E426" s="135"/>
    </row>
    <row r="427">
      <c r="C427" s="152"/>
      <c r="D427" s="152"/>
      <c r="E427" s="135"/>
    </row>
    <row r="428">
      <c r="C428" s="152"/>
      <c r="D428" s="152"/>
      <c r="E428" s="135"/>
    </row>
    <row r="429">
      <c r="C429" s="152"/>
      <c r="D429" s="152"/>
      <c r="E429" s="135"/>
    </row>
    <row r="430">
      <c r="C430" s="152"/>
      <c r="D430" s="152"/>
      <c r="E430" s="135"/>
    </row>
    <row r="431">
      <c r="C431" s="152"/>
      <c r="D431" s="152"/>
      <c r="E431" s="135"/>
    </row>
    <row r="432">
      <c r="C432" s="152"/>
      <c r="D432" s="152"/>
      <c r="E432" s="135"/>
    </row>
    <row r="433">
      <c r="C433" s="152"/>
      <c r="D433" s="152"/>
      <c r="E433" s="135"/>
    </row>
    <row r="434">
      <c r="C434" s="152"/>
      <c r="D434" s="152"/>
      <c r="E434" s="135"/>
    </row>
    <row r="435">
      <c r="C435" s="152"/>
      <c r="D435" s="152"/>
      <c r="E435" s="135"/>
    </row>
    <row r="436">
      <c r="C436" s="152"/>
      <c r="D436" s="152"/>
      <c r="E436" s="135"/>
    </row>
    <row r="437">
      <c r="C437" s="152"/>
      <c r="D437" s="152"/>
      <c r="E437" s="135"/>
    </row>
    <row r="438">
      <c r="C438" s="152"/>
      <c r="D438" s="152"/>
      <c r="E438" s="135"/>
    </row>
    <row r="439">
      <c r="C439" s="152"/>
      <c r="D439" s="152"/>
      <c r="E439" s="135"/>
    </row>
    <row r="440">
      <c r="C440" s="152"/>
      <c r="D440" s="152"/>
      <c r="E440" s="135"/>
    </row>
    <row r="441">
      <c r="C441" s="152"/>
      <c r="D441" s="152"/>
      <c r="E441" s="135"/>
    </row>
    <row r="442">
      <c r="C442" s="152"/>
      <c r="D442" s="152"/>
      <c r="E442" s="135"/>
    </row>
    <row r="443">
      <c r="C443" s="152"/>
      <c r="D443" s="152"/>
      <c r="E443" s="135"/>
    </row>
    <row r="444">
      <c r="C444" s="152"/>
      <c r="D444" s="152"/>
      <c r="E444" s="135"/>
    </row>
    <row r="445">
      <c r="C445" s="152"/>
      <c r="D445" s="152"/>
      <c r="E445" s="135"/>
    </row>
    <row r="446">
      <c r="C446" s="152"/>
      <c r="D446" s="152"/>
      <c r="E446" s="135"/>
    </row>
    <row r="447">
      <c r="C447" s="152"/>
      <c r="D447" s="152"/>
      <c r="E447" s="135"/>
    </row>
    <row r="448">
      <c r="C448" s="152"/>
      <c r="D448" s="152"/>
      <c r="E448" s="135"/>
    </row>
    <row r="449">
      <c r="C449" s="152"/>
      <c r="D449" s="152"/>
      <c r="E449" s="135"/>
    </row>
    <row r="450">
      <c r="C450" s="152"/>
      <c r="D450" s="152"/>
      <c r="E450" s="135"/>
    </row>
    <row r="451">
      <c r="C451" s="152"/>
      <c r="D451" s="152"/>
      <c r="E451" s="135"/>
    </row>
    <row r="452">
      <c r="C452" s="152"/>
      <c r="D452" s="152"/>
      <c r="E452" s="135"/>
    </row>
    <row r="453">
      <c r="C453" s="152"/>
      <c r="D453" s="152"/>
      <c r="E453" s="135"/>
    </row>
    <row r="454">
      <c r="C454" s="152"/>
      <c r="D454" s="152"/>
      <c r="E454" s="135"/>
    </row>
    <row r="455">
      <c r="C455" s="152"/>
      <c r="D455" s="152"/>
      <c r="E455" s="135"/>
    </row>
    <row r="456">
      <c r="C456" s="152"/>
      <c r="D456" s="152"/>
      <c r="E456" s="135"/>
    </row>
    <row r="457">
      <c r="C457" s="152"/>
      <c r="D457" s="152"/>
      <c r="E457" s="135"/>
    </row>
    <row r="458">
      <c r="C458" s="152"/>
      <c r="D458" s="152"/>
      <c r="E458" s="135"/>
    </row>
    <row r="459">
      <c r="C459" s="152"/>
      <c r="D459" s="152"/>
      <c r="E459" s="135"/>
    </row>
    <row r="460">
      <c r="C460" s="152"/>
      <c r="D460" s="152"/>
      <c r="E460" s="135"/>
    </row>
    <row r="461">
      <c r="C461" s="152"/>
      <c r="D461" s="152"/>
      <c r="E461" s="135"/>
    </row>
    <row r="462">
      <c r="C462" s="152"/>
      <c r="D462" s="152"/>
      <c r="E462" s="135"/>
    </row>
    <row r="463">
      <c r="C463" s="152"/>
      <c r="D463" s="152"/>
      <c r="E463" s="135"/>
    </row>
    <row r="464">
      <c r="C464" s="152"/>
      <c r="D464" s="152"/>
      <c r="E464" s="135"/>
    </row>
    <row r="465">
      <c r="C465" s="152"/>
      <c r="D465" s="152"/>
      <c r="E465" s="135"/>
    </row>
    <row r="466">
      <c r="C466" s="152"/>
      <c r="D466" s="152"/>
      <c r="E466" s="135"/>
    </row>
    <row r="467">
      <c r="C467" s="152"/>
      <c r="D467" s="152"/>
      <c r="E467" s="135"/>
    </row>
    <row r="468">
      <c r="C468" s="152"/>
      <c r="D468" s="152"/>
      <c r="E468" s="135"/>
    </row>
    <row r="469">
      <c r="C469" s="152"/>
      <c r="D469" s="152"/>
      <c r="E469" s="135"/>
    </row>
    <row r="470">
      <c r="C470" s="152"/>
      <c r="D470" s="152"/>
      <c r="E470" s="135"/>
    </row>
    <row r="471">
      <c r="C471" s="152"/>
      <c r="D471" s="152"/>
      <c r="E471" s="135"/>
    </row>
    <row r="472">
      <c r="C472" s="152"/>
      <c r="D472" s="152"/>
      <c r="E472" s="135"/>
    </row>
    <row r="473">
      <c r="C473" s="152"/>
      <c r="D473" s="152"/>
      <c r="E473" s="135"/>
    </row>
    <row r="474">
      <c r="C474" s="152"/>
      <c r="D474" s="152"/>
      <c r="E474" s="135"/>
    </row>
    <row r="475">
      <c r="C475" s="152"/>
      <c r="D475" s="152"/>
      <c r="E475" s="135"/>
    </row>
    <row r="476">
      <c r="C476" s="152"/>
      <c r="D476" s="152"/>
      <c r="E476" s="135"/>
    </row>
    <row r="477">
      <c r="C477" s="152"/>
      <c r="D477" s="152"/>
      <c r="E477" s="135"/>
    </row>
    <row r="478">
      <c r="C478" s="152"/>
      <c r="D478" s="152"/>
      <c r="E478" s="135"/>
    </row>
    <row r="479">
      <c r="C479" s="152"/>
      <c r="D479" s="152"/>
      <c r="E479" s="135"/>
    </row>
    <row r="480">
      <c r="C480" s="152"/>
      <c r="D480" s="152"/>
      <c r="E480" s="135"/>
    </row>
    <row r="481">
      <c r="C481" s="152"/>
      <c r="D481" s="152"/>
      <c r="E481" s="135"/>
    </row>
    <row r="482">
      <c r="C482" s="152"/>
      <c r="D482" s="152"/>
      <c r="E482" s="135"/>
    </row>
    <row r="483">
      <c r="C483" s="152"/>
      <c r="D483" s="152"/>
      <c r="E483" s="135"/>
    </row>
    <row r="484">
      <c r="C484" s="152"/>
      <c r="D484" s="152"/>
      <c r="E484" s="135"/>
    </row>
    <row r="485">
      <c r="C485" s="152"/>
      <c r="D485" s="152"/>
      <c r="E485" s="135"/>
    </row>
    <row r="486">
      <c r="C486" s="152"/>
      <c r="D486" s="152"/>
      <c r="E486" s="135"/>
    </row>
    <row r="487">
      <c r="C487" s="152"/>
      <c r="D487" s="152"/>
      <c r="E487" s="135"/>
    </row>
    <row r="488">
      <c r="C488" s="152"/>
      <c r="D488" s="152"/>
      <c r="E488" s="135"/>
    </row>
    <row r="489">
      <c r="C489" s="152"/>
      <c r="D489" s="152"/>
      <c r="E489" s="135"/>
    </row>
    <row r="490">
      <c r="C490" s="152"/>
      <c r="D490" s="152"/>
      <c r="E490" s="135"/>
    </row>
    <row r="491">
      <c r="C491" s="152"/>
      <c r="D491" s="152"/>
      <c r="E491" s="135"/>
    </row>
    <row r="492">
      <c r="C492" s="152"/>
      <c r="D492" s="152"/>
      <c r="E492" s="135"/>
    </row>
    <row r="493">
      <c r="C493" s="152"/>
      <c r="D493" s="152"/>
      <c r="E493" s="135"/>
    </row>
    <row r="494">
      <c r="C494" s="152"/>
      <c r="D494" s="152"/>
      <c r="E494" s="135"/>
    </row>
    <row r="495">
      <c r="C495" s="152"/>
      <c r="D495" s="152"/>
      <c r="E495" s="135"/>
    </row>
    <row r="496">
      <c r="C496" s="152"/>
      <c r="D496" s="152"/>
      <c r="E496" s="135"/>
    </row>
    <row r="497">
      <c r="C497" s="152"/>
      <c r="D497" s="152"/>
      <c r="E497" s="135"/>
    </row>
    <row r="498">
      <c r="C498" s="152"/>
      <c r="D498" s="152"/>
      <c r="E498" s="135"/>
    </row>
    <row r="499">
      <c r="C499" s="152"/>
      <c r="D499" s="152"/>
      <c r="E499" s="135"/>
    </row>
    <row r="500">
      <c r="C500" s="152"/>
      <c r="D500" s="152"/>
      <c r="E500" s="135"/>
    </row>
    <row r="501">
      <c r="C501" s="152"/>
      <c r="D501" s="152"/>
      <c r="E501" s="135"/>
    </row>
    <row r="502">
      <c r="C502" s="152"/>
      <c r="D502" s="152"/>
      <c r="E502" s="135"/>
    </row>
    <row r="503">
      <c r="C503" s="152"/>
      <c r="D503" s="152"/>
      <c r="E503" s="135"/>
    </row>
    <row r="504">
      <c r="C504" s="152"/>
      <c r="D504" s="152"/>
      <c r="E504" s="135"/>
    </row>
    <row r="505">
      <c r="C505" s="152"/>
      <c r="D505" s="152"/>
      <c r="E505" s="135"/>
    </row>
    <row r="506">
      <c r="C506" s="152"/>
      <c r="D506" s="152"/>
      <c r="E506" s="135"/>
    </row>
    <row r="507">
      <c r="C507" s="152"/>
      <c r="D507" s="152"/>
      <c r="E507" s="135"/>
    </row>
    <row r="508">
      <c r="C508" s="152"/>
      <c r="D508" s="152"/>
      <c r="E508" s="135"/>
    </row>
    <row r="509">
      <c r="C509" s="152"/>
      <c r="D509" s="152"/>
      <c r="E509" s="135"/>
    </row>
    <row r="510">
      <c r="C510" s="152"/>
      <c r="D510" s="152"/>
      <c r="E510" s="135"/>
    </row>
    <row r="511">
      <c r="C511" s="152"/>
      <c r="D511" s="152"/>
      <c r="E511" s="135"/>
    </row>
    <row r="512">
      <c r="C512" s="152"/>
      <c r="D512" s="152"/>
      <c r="E512" s="135"/>
    </row>
    <row r="513">
      <c r="C513" s="152"/>
      <c r="D513" s="152"/>
      <c r="E513" s="135"/>
    </row>
    <row r="514">
      <c r="C514" s="152"/>
      <c r="D514" s="152"/>
      <c r="E514" s="135"/>
    </row>
    <row r="515">
      <c r="C515" s="152"/>
      <c r="D515" s="152"/>
      <c r="E515" s="135"/>
    </row>
    <row r="516">
      <c r="C516" s="152"/>
      <c r="D516" s="152"/>
      <c r="E516" s="135"/>
    </row>
    <row r="517">
      <c r="C517" s="152"/>
      <c r="D517" s="152"/>
      <c r="E517" s="135"/>
    </row>
    <row r="518">
      <c r="C518" s="152"/>
      <c r="D518" s="152"/>
      <c r="E518" s="135"/>
    </row>
    <row r="519">
      <c r="C519" s="152"/>
      <c r="D519" s="152"/>
      <c r="E519" s="135"/>
    </row>
    <row r="520">
      <c r="C520" s="152"/>
      <c r="D520" s="152"/>
      <c r="E520" s="135"/>
    </row>
    <row r="521">
      <c r="C521" s="152"/>
      <c r="D521" s="152"/>
      <c r="E521" s="135"/>
    </row>
    <row r="522">
      <c r="C522" s="152"/>
      <c r="D522" s="152"/>
      <c r="E522" s="135"/>
    </row>
    <row r="523">
      <c r="C523" s="152"/>
      <c r="D523" s="152"/>
      <c r="E523" s="135"/>
    </row>
    <row r="524">
      <c r="C524" s="152"/>
      <c r="D524" s="152"/>
      <c r="E524" s="135"/>
    </row>
    <row r="525">
      <c r="C525" s="152"/>
      <c r="D525" s="152"/>
      <c r="E525" s="135"/>
    </row>
    <row r="526">
      <c r="C526" s="152"/>
      <c r="D526" s="152"/>
      <c r="E526" s="135"/>
    </row>
    <row r="527">
      <c r="C527" s="152"/>
      <c r="D527" s="152"/>
      <c r="E527" s="135"/>
    </row>
    <row r="528">
      <c r="C528" s="152"/>
      <c r="D528" s="152"/>
      <c r="E528" s="135"/>
    </row>
    <row r="529">
      <c r="C529" s="152"/>
      <c r="D529" s="152"/>
      <c r="E529" s="135"/>
    </row>
    <row r="530">
      <c r="C530" s="152"/>
      <c r="D530" s="152"/>
      <c r="E530" s="135"/>
    </row>
    <row r="531">
      <c r="C531" s="152"/>
      <c r="D531" s="152"/>
      <c r="E531" s="135"/>
    </row>
    <row r="532">
      <c r="C532" s="152"/>
      <c r="D532" s="152"/>
      <c r="E532" s="135"/>
    </row>
    <row r="533">
      <c r="C533" s="152"/>
      <c r="D533" s="152"/>
      <c r="E533" s="135"/>
    </row>
    <row r="534">
      <c r="C534" s="152"/>
      <c r="D534" s="152"/>
      <c r="E534" s="135"/>
    </row>
    <row r="535">
      <c r="C535" s="152"/>
      <c r="D535" s="152"/>
      <c r="E535" s="135"/>
    </row>
    <row r="536">
      <c r="C536" s="152"/>
      <c r="D536" s="152"/>
      <c r="E536" s="135"/>
    </row>
    <row r="537">
      <c r="C537" s="152"/>
      <c r="D537" s="152"/>
      <c r="E537" s="135"/>
    </row>
    <row r="538">
      <c r="C538" s="152"/>
      <c r="D538" s="152"/>
      <c r="E538" s="135"/>
    </row>
    <row r="539">
      <c r="C539" s="152"/>
      <c r="D539" s="152"/>
      <c r="E539" s="135"/>
    </row>
    <row r="540">
      <c r="C540" s="152"/>
      <c r="D540" s="152"/>
      <c r="E540" s="135"/>
    </row>
    <row r="541">
      <c r="C541" s="152"/>
      <c r="D541" s="152"/>
      <c r="E541" s="135"/>
    </row>
    <row r="542">
      <c r="C542" s="152"/>
      <c r="D542" s="152"/>
      <c r="E542" s="135"/>
    </row>
    <row r="543">
      <c r="C543" s="152"/>
      <c r="D543" s="152"/>
      <c r="E543" s="135"/>
    </row>
    <row r="544">
      <c r="C544" s="152"/>
      <c r="D544" s="152"/>
      <c r="E544" s="135"/>
    </row>
    <row r="545">
      <c r="C545" s="152"/>
      <c r="D545" s="152"/>
      <c r="E545" s="135"/>
    </row>
    <row r="546">
      <c r="C546" s="152"/>
      <c r="D546" s="152"/>
      <c r="E546" s="135"/>
    </row>
    <row r="547">
      <c r="C547" s="152"/>
      <c r="D547" s="152"/>
      <c r="E547" s="135"/>
    </row>
    <row r="548">
      <c r="C548" s="152"/>
      <c r="D548" s="152"/>
      <c r="E548" s="135"/>
    </row>
    <row r="549">
      <c r="C549" s="152"/>
      <c r="D549" s="152"/>
      <c r="E549" s="135"/>
    </row>
    <row r="550">
      <c r="C550" s="152"/>
      <c r="D550" s="152"/>
      <c r="E550" s="135"/>
    </row>
    <row r="551">
      <c r="C551" s="152"/>
      <c r="D551" s="152"/>
      <c r="E551" s="135"/>
    </row>
    <row r="552">
      <c r="C552" s="152"/>
      <c r="D552" s="152"/>
      <c r="E552" s="135"/>
    </row>
    <row r="553">
      <c r="C553" s="152"/>
      <c r="D553" s="152"/>
      <c r="E553" s="135"/>
    </row>
    <row r="554">
      <c r="C554" s="152"/>
      <c r="D554" s="152"/>
      <c r="E554" s="135"/>
    </row>
    <row r="555">
      <c r="C555" s="152"/>
      <c r="D555" s="152"/>
      <c r="E555" s="135"/>
    </row>
    <row r="556">
      <c r="C556" s="152"/>
      <c r="D556" s="152"/>
      <c r="E556" s="135"/>
    </row>
    <row r="557">
      <c r="C557" s="152"/>
      <c r="D557" s="152"/>
      <c r="E557" s="135"/>
    </row>
    <row r="558">
      <c r="C558" s="152"/>
      <c r="D558" s="152"/>
      <c r="E558" s="135"/>
    </row>
    <row r="559">
      <c r="C559" s="152"/>
      <c r="D559" s="152"/>
      <c r="E559" s="135"/>
    </row>
    <row r="560">
      <c r="C560" s="152"/>
      <c r="D560" s="152"/>
      <c r="E560" s="135"/>
    </row>
    <row r="561">
      <c r="C561" s="152"/>
      <c r="D561" s="152"/>
      <c r="E561" s="135"/>
    </row>
    <row r="562">
      <c r="C562" s="152"/>
      <c r="D562" s="152"/>
      <c r="E562" s="135"/>
    </row>
    <row r="563">
      <c r="C563" s="152"/>
      <c r="D563" s="152"/>
      <c r="E563" s="135"/>
    </row>
    <row r="564">
      <c r="C564" s="152"/>
      <c r="D564" s="152"/>
      <c r="E564" s="135"/>
    </row>
    <row r="565">
      <c r="C565" s="152"/>
      <c r="D565" s="152"/>
      <c r="E565" s="135"/>
    </row>
    <row r="566">
      <c r="C566" s="152"/>
      <c r="D566" s="152"/>
      <c r="E566" s="135"/>
    </row>
    <row r="567">
      <c r="C567" s="152"/>
      <c r="D567" s="152"/>
      <c r="E567" s="135"/>
    </row>
    <row r="568">
      <c r="C568" s="152"/>
      <c r="D568" s="152"/>
      <c r="E568" s="135"/>
    </row>
    <row r="569">
      <c r="C569" s="152"/>
      <c r="D569" s="152"/>
      <c r="E569" s="135"/>
    </row>
    <row r="570">
      <c r="C570" s="152"/>
      <c r="D570" s="152"/>
      <c r="E570" s="135"/>
    </row>
    <row r="571">
      <c r="C571" s="152"/>
      <c r="D571" s="152"/>
      <c r="E571" s="135"/>
    </row>
    <row r="572">
      <c r="C572" s="152"/>
      <c r="D572" s="152"/>
      <c r="E572" s="135"/>
    </row>
    <row r="573">
      <c r="C573" s="152"/>
      <c r="D573" s="152"/>
      <c r="E573" s="135"/>
    </row>
    <row r="574">
      <c r="C574" s="152"/>
      <c r="D574" s="152"/>
      <c r="E574" s="135"/>
    </row>
    <row r="575">
      <c r="C575" s="152"/>
      <c r="D575" s="152"/>
      <c r="E575" s="135"/>
    </row>
    <row r="576">
      <c r="C576" s="152"/>
      <c r="D576" s="152"/>
      <c r="E576" s="135"/>
    </row>
    <row r="577">
      <c r="C577" s="152"/>
      <c r="D577" s="152"/>
      <c r="E577" s="135"/>
    </row>
    <row r="578">
      <c r="C578" s="152"/>
      <c r="D578" s="152"/>
      <c r="E578" s="135"/>
    </row>
    <row r="579">
      <c r="C579" s="152"/>
      <c r="D579" s="152"/>
      <c r="E579" s="135"/>
    </row>
    <row r="580">
      <c r="C580" s="152"/>
      <c r="D580" s="152"/>
      <c r="E580" s="135"/>
    </row>
    <row r="581">
      <c r="C581" s="152"/>
      <c r="D581" s="152"/>
      <c r="E581" s="135"/>
    </row>
    <row r="582">
      <c r="C582" s="152"/>
      <c r="D582" s="152"/>
      <c r="E582" s="135"/>
    </row>
    <row r="583">
      <c r="C583" s="152"/>
      <c r="D583" s="152"/>
      <c r="E583" s="135"/>
    </row>
    <row r="584">
      <c r="C584" s="152"/>
      <c r="D584" s="152"/>
      <c r="E584" s="135"/>
    </row>
    <row r="585">
      <c r="C585" s="152"/>
      <c r="D585" s="152"/>
      <c r="E585" s="135"/>
    </row>
    <row r="586">
      <c r="C586" s="152"/>
      <c r="D586" s="152"/>
      <c r="E586" s="135"/>
    </row>
    <row r="587">
      <c r="C587" s="152"/>
      <c r="D587" s="152"/>
      <c r="E587" s="135"/>
    </row>
    <row r="588">
      <c r="C588" s="152"/>
      <c r="D588" s="152"/>
      <c r="E588" s="135"/>
    </row>
    <row r="589">
      <c r="C589" s="152"/>
      <c r="D589" s="152"/>
      <c r="E589" s="135"/>
    </row>
    <row r="590">
      <c r="C590" s="152"/>
      <c r="D590" s="152"/>
      <c r="E590" s="135"/>
    </row>
    <row r="591">
      <c r="C591" s="152"/>
      <c r="D591" s="152"/>
      <c r="E591" s="135"/>
    </row>
    <row r="592">
      <c r="C592" s="152"/>
      <c r="D592" s="152"/>
      <c r="E592" s="135"/>
    </row>
    <row r="593">
      <c r="C593" s="152"/>
      <c r="D593" s="152"/>
      <c r="E593" s="135"/>
    </row>
    <row r="594">
      <c r="C594" s="152"/>
      <c r="D594" s="152"/>
      <c r="E594" s="135"/>
    </row>
    <row r="595">
      <c r="C595" s="152"/>
      <c r="D595" s="152"/>
      <c r="E595" s="135"/>
    </row>
    <row r="596">
      <c r="C596" s="152"/>
      <c r="D596" s="152"/>
      <c r="E596" s="135"/>
    </row>
    <row r="597">
      <c r="C597" s="152"/>
      <c r="D597" s="152"/>
      <c r="E597" s="135"/>
    </row>
    <row r="598">
      <c r="C598" s="152"/>
      <c r="D598" s="152"/>
      <c r="E598" s="135"/>
    </row>
    <row r="599">
      <c r="C599" s="152"/>
      <c r="D599" s="152"/>
      <c r="E599" s="135"/>
    </row>
    <row r="600">
      <c r="C600" s="152"/>
      <c r="D600" s="152"/>
      <c r="E600" s="135"/>
    </row>
    <row r="601">
      <c r="C601" s="152"/>
      <c r="D601" s="152"/>
      <c r="E601" s="135"/>
    </row>
    <row r="602">
      <c r="C602" s="152"/>
      <c r="D602" s="152"/>
      <c r="E602" s="135"/>
    </row>
    <row r="603">
      <c r="C603" s="152"/>
      <c r="D603" s="152"/>
      <c r="E603" s="135"/>
    </row>
    <row r="604">
      <c r="C604" s="152"/>
      <c r="D604" s="152"/>
      <c r="E604" s="135"/>
    </row>
    <row r="605">
      <c r="C605" s="152"/>
      <c r="D605" s="152"/>
      <c r="E605" s="135"/>
    </row>
    <row r="606">
      <c r="C606" s="152"/>
      <c r="D606" s="152"/>
      <c r="E606" s="135"/>
    </row>
    <row r="607">
      <c r="C607" s="152"/>
      <c r="D607" s="152"/>
      <c r="E607" s="135"/>
    </row>
    <row r="608">
      <c r="C608" s="152"/>
      <c r="D608" s="152"/>
      <c r="E608" s="135"/>
    </row>
    <row r="609">
      <c r="C609" s="152"/>
      <c r="D609" s="152"/>
      <c r="E609" s="135"/>
    </row>
    <row r="610">
      <c r="C610" s="152"/>
      <c r="D610" s="152"/>
      <c r="E610" s="135"/>
    </row>
    <row r="611">
      <c r="C611" s="152"/>
      <c r="D611" s="152"/>
      <c r="E611" s="135"/>
    </row>
    <row r="612">
      <c r="C612" s="152"/>
      <c r="D612" s="152"/>
      <c r="E612" s="135"/>
    </row>
    <row r="613">
      <c r="C613" s="152"/>
      <c r="D613" s="152"/>
      <c r="E613" s="135"/>
    </row>
    <row r="614">
      <c r="C614" s="152"/>
      <c r="D614" s="152"/>
      <c r="E614" s="135"/>
    </row>
    <row r="615">
      <c r="C615" s="152"/>
      <c r="D615" s="152"/>
      <c r="E615" s="135"/>
    </row>
    <row r="616">
      <c r="C616" s="152"/>
      <c r="D616" s="152"/>
      <c r="E616" s="135"/>
    </row>
    <row r="617">
      <c r="C617" s="152"/>
      <c r="D617" s="152"/>
      <c r="E617" s="135"/>
    </row>
    <row r="618">
      <c r="C618" s="152"/>
      <c r="D618" s="152"/>
      <c r="E618" s="135"/>
    </row>
    <row r="619">
      <c r="C619" s="152"/>
      <c r="D619" s="152"/>
      <c r="E619" s="135"/>
    </row>
    <row r="620">
      <c r="C620" s="152"/>
      <c r="D620" s="152"/>
      <c r="E620" s="135"/>
    </row>
    <row r="621">
      <c r="C621" s="152"/>
      <c r="D621" s="152"/>
      <c r="E621" s="135"/>
    </row>
    <row r="622">
      <c r="C622" s="152"/>
      <c r="D622" s="152"/>
      <c r="E622" s="135"/>
    </row>
    <row r="623">
      <c r="C623" s="152"/>
      <c r="D623" s="152"/>
      <c r="E623" s="135"/>
    </row>
    <row r="624">
      <c r="C624" s="152"/>
      <c r="D624" s="152"/>
      <c r="E624" s="135"/>
    </row>
    <row r="625">
      <c r="C625" s="152"/>
      <c r="D625" s="152"/>
      <c r="E625" s="135"/>
    </row>
    <row r="626">
      <c r="C626" s="152"/>
      <c r="D626" s="152"/>
      <c r="E626" s="135"/>
    </row>
    <row r="627">
      <c r="C627" s="152"/>
      <c r="D627" s="152"/>
      <c r="E627" s="135"/>
    </row>
    <row r="628">
      <c r="C628" s="152"/>
      <c r="D628" s="152"/>
      <c r="E628" s="135"/>
    </row>
    <row r="629">
      <c r="C629" s="152"/>
      <c r="D629" s="152"/>
      <c r="E629" s="135"/>
    </row>
    <row r="630">
      <c r="C630" s="152"/>
      <c r="D630" s="152"/>
      <c r="E630" s="135"/>
    </row>
    <row r="631">
      <c r="C631" s="152"/>
      <c r="D631" s="152"/>
      <c r="E631" s="135"/>
    </row>
    <row r="632">
      <c r="C632" s="152"/>
      <c r="D632" s="152"/>
      <c r="E632" s="135"/>
    </row>
    <row r="633">
      <c r="C633" s="152"/>
      <c r="D633" s="152"/>
      <c r="E633" s="135"/>
    </row>
    <row r="634">
      <c r="C634" s="152"/>
      <c r="D634" s="152"/>
      <c r="E634" s="135"/>
    </row>
    <row r="635">
      <c r="C635" s="152"/>
      <c r="D635" s="152"/>
      <c r="E635" s="135"/>
    </row>
    <row r="636">
      <c r="C636" s="152"/>
      <c r="D636" s="152"/>
      <c r="E636" s="135"/>
    </row>
    <row r="637">
      <c r="C637" s="152"/>
      <c r="D637" s="152"/>
      <c r="E637" s="135"/>
    </row>
    <row r="638">
      <c r="C638" s="152"/>
      <c r="D638" s="152"/>
      <c r="E638" s="135"/>
    </row>
    <row r="639">
      <c r="C639" s="152"/>
      <c r="D639" s="152"/>
      <c r="E639" s="135"/>
    </row>
    <row r="640">
      <c r="C640" s="152"/>
      <c r="D640" s="152"/>
      <c r="E640" s="135"/>
    </row>
    <row r="641">
      <c r="C641" s="152"/>
      <c r="D641" s="152"/>
      <c r="E641" s="135"/>
    </row>
    <row r="642">
      <c r="C642" s="152"/>
      <c r="D642" s="152"/>
      <c r="E642" s="135"/>
    </row>
    <row r="643">
      <c r="C643" s="152"/>
      <c r="D643" s="152"/>
      <c r="E643" s="135"/>
    </row>
    <row r="644">
      <c r="C644" s="152"/>
      <c r="D644" s="152"/>
      <c r="E644" s="135"/>
    </row>
    <row r="645">
      <c r="C645" s="152"/>
      <c r="D645" s="152"/>
      <c r="E645" s="135"/>
    </row>
    <row r="646">
      <c r="C646" s="152"/>
      <c r="D646" s="152"/>
      <c r="E646" s="135"/>
    </row>
    <row r="647">
      <c r="C647" s="152"/>
      <c r="D647" s="152"/>
      <c r="E647" s="135"/>
    </row>
    <row r="648">
      <c r="C648" s="152"/>
      <c r="D648" s="152"/>
      <c r="E648" s="135"/>
    </row>
    <row r="649">
      <c r="C649" s="152"/>
      <c r="D649" s="152"/>
      <c r="E649" s="135"/>
    </row>
    <row r="650">
      <c r="C650" s="152"/>
      <c r="D650" s="152"/>
      <c r="E650" s="135"/>
    </row>
    <row r="651">
      <c r="C651" s="152"/>
      <c r="D651" s="152"/>
      <c r="E651" s="135"/>
    </row>
    <row r="652">
      <c r="C652" s="152"/>
      <c r="D652" s="152"/>
      <c r="E652" s="135"/>
    </row>
    <row r="653">
      <c r="C653" s="152"/>
      <c r="D653" s="152"/>
      <c r="E653" s="135"/>
    </row>
    <row r="654">
      <c r="C654" s="152"/>
      <c r="D654" s="152"/>
      <c r="E654" s="135"/>
    </row>
    <row r="655">
      <c r="C655" s="152"/>
      <c r="D655" s="152"/>
      <c r="E655" s="135"/>
    </row>
    <row r="656">
      <c r="C656" s="152"/>
      <c r="D656" s="152"/>
      <c r="E656" s="135"/>
    </row>
    <row r="657">
      <c r="C657" s="152"/>
      <c r="D657" s="152"/>
      <c r="E657" s="135"/>
    </row>
    <row r="658">
      <c r="C658" s="152"/>
      <c r="D658" s="152"/>
      <c r="E658" s="135"/>
    </row>
    <row r="659">
      <c r="C659" s="152"/>
      <c r="D659" s="152"/>
      <c r="E659" s="135"/>
    </row>
    <row r="660">
      <c r="C660" s="152"/>
      <c r="D660" s="152"/>
      <c r="E660" s="135"/>
    </row>
    <row r="661">
      <c r="C661" s="152"/>
      <c r="D661" s="152"/>
      <c r="E661" s="135"/>
    </row>
    <row r="662">
      <c r="C662" s="152"/>
      <c r="D662" s="152"/>
      <c r="E662" s="135"/>
    </row>
    <row r="663">
      <c r="C663" s="152"/>
      <c r="D663" s="152"/>
      <c r="E663" s="135"/>
    </row>
    <row r="664">
      <c r="C664" s="152"/>
      <c r="D664" s="152"/>
      <c r="E664" s="135"/>
    </row>
    <row r="665">
      <c r="C665" s="152"/>
      <c r="D665" s="152"/>
      <c r="E665" s="135"/>
    </row>
    <row r="666">
      <c r="C666" s="152"/>
      <c r="D666" s="152"/>
      <c r="E666" s="135"/>
    </row>
    <row r="667">
      <c r="C667" s="152"/>
      <c r="D667" s="152"/>
      <c r="E667" s="135"/>
    </row>
    <row r="668">
      <c r="C668" s="152"/>
      <c r="D668" s="152"/>
      <c r="E668" s="135"/>
    </row>
    <row r="669">
      <c r="C669" s="152"/>
      <c r="D669" s="152"/>
      <c r="E669" s="135"/>
    </row>
    <row r="670">
      <c r="C670" s="152"/>
      <c r="D670" s="152"/>
      <c r="E670" s="135"/>
    </row>
    <row r="671">
      <c r="C671" s="152"/>
      <c r="D671" s="152"/>
      <c r="E671" s="135"/>
    </row>
    <row r="672">
      <c r="C672" s="152"/>
      <c r="D672" s="152"/>
      <c r="E672" s="135"/>
    </row>
    <row r="673">
      <c r="C673" s="152"/>
      <c r="D673" s="152"/>
      <c r="E673" s="135"/>
    </row>
    <row r="674">
      <c r="C674" s="152"/>
      <c r="D674" s="152"/>
      <c r="E674" s="135"/>
    </row>
    <row r="675">
      <c r="C675" s="152"/>
      <c r="D675" s="152"/>
      <c r="E675" s="135"/>
    </row>
    <row r="676">
      <c r="C676" s="152"/>
      <c r="D676" s="152"/>
      <c r="E676" s="135"/>
    </row>
    <row r="677">
      <c r="C677" s="152"/>
      <c r="D677" s="152"/>
      <c r="E677" s="135"/>
    </row>
    <row r="678">
      <c r="C678" s="152"/>
      <c r="D678" s="152"/>
      <c r="E678" s="135"/>
    </row>
    <row r="679">
      <c r="C679" s="152"/>
      <c r="D679" s="152"/>
      <c r="E679" s="135"/>
    </row>
    <row r="680">
      <c r="C680" s="152"/>
      <c r="D680" s="152"/>
      <c r="E680" s="135"/>
    </row>
    <row r="681">
      <c r="C681" s="152"/>
      <c r="D681" s="152"/>
      <c r="E681" s="135"/>
    </row>
    <row r="682">
      <c r="C682" s="152"/>
      <c r="D682" s="152"/>
      <c r="E682" s="135"/>
    </row>
    <row r="683">
      <c r="C683" s="152"/>
      <c r="D683" s="152"/>
      <c r="E683" s="135"/>
    </row>
    <row r="684">
      <c r="C684" s="152"/>
      <c r="D684" s="152"/>
      <c r="E684" s="135"/>
    </row>
    <row r="685">
      <c r="C685" s="152"/>
      <c r="D685" s="152"/>
      <c r="E685" s="135"/>
    </row>
    <row r="686">
      <c r="C686" s="152"/>
      <c r="D686" s="152"/>
      <c r="E686" s="135"/>
    </row>
    <row r="687">
      <c r="C687" s="152"/>
      <c r="D687" s="152"/>
      <c r="E687" s="135"/>
    </row>
    <row r="688">
      <c r="C688" s="152"/>
      <c r="D688" s="152"/>
      <c r="E688" s="135"/>
    </row>
    <row r="689">
      <c r="C689" s="152"/>
      <c r="D689" s="152"/>
      <c r="E689" s="135"/>
    </row>
    <row r="690">
      <c r="C690" s="152"/>
      <c r="D690" s="152"/>
      <c r="E690" s="135"/>
    </row>
    <row r="691">
      <c r="C691" s="152"/>
      <c r="D691" s="152"/>
      <c r="E691" s="135"/>
    </row>
    <row r="692">
      <c r="C692" s="152"/>
      <c r="D692" s="152"/>
      <c r="E692" s="135"/>
    </row>
    <row r="693">
      <c r="C693" s="152"/>
      <c r="D693" s="152"/>
      <c r="E693" s="135"/>
    </row>
    <row r="694">
      <c r="C694" s="152"/>
      <c r="D694" s="152"/>
      <c r="E694" s="135"/>
    </row>
    <row r="695">
      <c r="C695" s="152"/>
      <c r="D695" s="152"/>
      <c r="E695" s="135"/>
    </row>
    <row r="696">
      <c r="C696" s="152"/>
      <c r="D696" s="152"/>
      <c r="E696" s="135"/>
    </row>
    <row r="697">
      <c r="C697" s="152"/>
      <c r="D697" s="152"/>
      <c r="E697" s="135"/>
    </row>
    <row r="698">
      <c r="C698" s="152"/>
      <c r="D698" s="152"/>
      <c r="E698" s="135"/>
    </row>
    <row r="699">
      <c r="C699" s="152"/>
      <c r="D699" s="152"/>
      <c r="E699" s="135"/>
    </row>
    <row r="700">
      <c r="C700" s="152"/>
      <c r="D700" s="152"/>
      <c r="E700" s="135"/>
    </row>
    <row r="701">
      <c r="C701" s="152"/>
      <c r="D701" s="152"/>
      <c r="E701" s="135"/>
    </row>
    <row r="702">
      <c r="C702" s="152"/>
      <c r="D702" s="152"/>
      <c r="E702" s="135"/>
    </row>
    <row r="703">
      <c r="C703" s="152"/>
      <c r="D703" s="152"/>
      <c r="E703" s="135"/>
    </row>
    <row r="704">
      <c r="C704" s="152"/>
      <c r="D704" s="152"/>
      <c r="E704" s="135"/>
    </row>
    <row r="705">
      <c r="C705" s="152"/>
      <c r="D705" s="152"/>
      <c r="E705" s="135"/>
    </row>
    <row r="706">
      <c r="C706" s="152"/>
      <c r="D706" s="152"/>
      <c r="E706" s="135"/>
    </row>
    <row r="707">
      <c r="C707" s="152"/>
      <c r="D707" s="152"/>
      <c r="E707" s="135"/>
    </row>
    <row r="708">
      <c r="C708" s="152"/>
      <c r="D708" s="152"/>
      <c r="E708" s="135"/>
    </row>
    <row r="709">
      <c r="C709" s="152"/>
      <c r="D709" s="152"/>
      <c r="E709" s="135"/>
    </row>
    <row r="710">
      <c r="C710" s="152"/>
      <c r="D710" s="152"/>
      <c r="E710" s="135"/>
    </row>
    <row r="711">
      <c r="C711" s="152"/>
      <c r="D711" s="152"/>
      <c r="E711" s="135"/>
    </row>
    <row r="712">
      <c r="C712" s="152"/>
      <c r="D712" s="152"/>
      <c r="E712" s="135"/>
    </row>
    <row r="713">
      <c r="C713" s="152"/>
      <c r="D713" s="152"/>
      <c r="E713" s="135"/>
    </row>
    <row r="714">
      <c r="C714" s="152"/>
      <c r="D714" s="152"/>
      <c r="E714" s="135"/>
    </row>
    <row r="715">
      <c r="C715" s="152"/>
      <c r="D715" s="152"/>
      <c r="E715" s="135"/>
    </row>
    <row r="716">
      <c r="C716" s="152"/>
      <c r="D716" s="152"/>
      <c r="E716" s="135"/>
    </row>
    <row r="717">
      <c r="C717" s="152"/>
      <c r="D717" s="152"/>
      <c r="E717" s="135"/>
    </row>
    <row r="718">
      <c r="C718" s="152"/>
      <c r="D718" s="152"/>
      <c r="E718" s="135"/>
    </row>
    <row r="719">
      <c r="C719" s="152"/>
      <c r="D719" s="152"/>
      <c r="E719" s="135"/>
    </row>
    <row r="720">
      <c r="C720" s="152"/>
      <c r="D720" s="152"/>
      <c r="E720" s="135"/>
    </row>
    <row r="721">
      <c r="C721" s="152"/>
      <c r="D721" s="152"/>
      <c r="E721" s="135"/>
    </row>
    <row r="722">
      <c r="C722" s="152"/>
      <c r="D722" s="152"/>
      <c r="E722" s="135"/>
    </row>
    <row r="723">
      <c r="C723" s="152"/>
      <c r="D723" s="152"/>
      <c r="E723" s="135"/>
    </row>
    <row r="724">
      <c r="C724" s="152"/>
      <c r="D724" s="152"/>
      <c r="E724" s="135"/>
    </row>
    <row r="725">
      <c r="C725" s="152"/>
      <c r="D725" s="152"/>
      <c r="E725" s="135"/>
    </row>
    <row r="726">
      <c r="C726" s="152"/>
      <c r="D726" s="152"/>
      <c r="E726" s="135"/>
    </row>
    <row r="727">
      <c r="C727" s="152"/>
      <c r="D727" s="152"/>
      <c r="E727" s="135"/>
    </row>
    <row r="728">
      <c r="C728" s="152"/>
      <c r="D728" s="152"/>
      <c r="E728" s="135"/>
    </row>
    <row r="729">
      <c r="C729" s="152"/>
      <c r="D729" s="152"/>
      <c r="E729" s="135"/>
    </row>
    <row r="730">
      <c r="C730" s="152"/>
      <c r="D730" s="152"/>
      <c r="E730" s="135"/>
    </row>
    <row r="731">
      <c r="C731" s="152"/>
      <c r="D731" s="152"/>
      <c r="E731" s="135"/>
    </row>
    <row r="732">
      <c r="C732" s="152"/>
      <c r="D732" s="152"/>
      <c r="E732" s="135"/>
    </row>
    <row r="733">
      <c r="C733" s="152"/>
      <c r="D733" s="152"/>
      <c r="E733" s="135"/>
    </row>
    <row r="734">
      <c r="C734" s="152"/>
      <c r="D734" s="152"/>
      <c r="E734" s="135"/>
    </row>
    <row r="735">
      <c r="C735" s="152"/>
      <c r="D735" s="152"/>
      <c r="E735" s="135"/>
    </row>
    <row r="736">
      <c r="C736" s="152"/>
      <c r="D736" s="152"/>
      <c r="E736" s="135"/>
    </row>
    <row r="737">
      <c r="C737" s="152"/>
      <c r="D737" s="152"/>
      <c r="E737" s="135"/>
    </row>
    <row r="738">
      <c r="C738" s="152"/>
      <c r="D738" s="152"/>
      <c r="E738" s="135"/>
    </row>
    <row r="739">
      <c r="C739" s="152"/>
      <c r="D739" s="152"/>
      <c r="E739" s="135"/>
    </row>
    <row r="740">
      <c r="C740" s="152"/>
      <c r="D740" s="152"/>
      <c r="E740" s="135"/>
    </row>
    <row r="741">
      <c r="C741" s="152"/>
      <c r="D741" s="152"/>
      <c r="E741" s="135"/>
    </row>
    <row r="742">
      <c r="C742" s="152"/>
      <c r="D742" s="152"/>
      <c r="E742" s="135"/>
    </row>
    <row r="743">
      <c r="C743" s="152"/>
      <c r="D743" s="152"/>
      <c r="E743" s="135"/>
    </row>
    <row r="744">
      <c r="C744" s="152"/>
      <c r="D744" s="152"/>
      <c r="E744" s="135"/>
    </row>
    <row r="745">
      <c r="C745" s="152"/>
      <c r="D745" s="152"/>
      <c r="E745" s="135"/>
    </row>
    <row r="746">
      <c r="C746" s="152"/>
      <c r="D746" s="152"/>
      <c r="E746" s="135"/>
    </row>
    <row r="747">
      <c r="C747" s="152"/>
      <c r="D747" s="152"/>
      <c r="E747" s="135"/>
    </row>
    <row r="748">
      <c r="C748" s="152"/>
      <c r="D748" s="152"/>
      <c r="E748" s="135"/>
    </row>
    <row r="749">
      <c r="C749" s="152"/>
      <c r="D749" s="152"/>
      <c r="E749" s="135"/>
    </row>
    <row r="750">
      <c r="C750" s="152"/>
      <c r="D750" s="152"/>
      <c r="E750" s="135"/>
    </row>
    <row r="751">
      <c r="C751" s="152"/>
      <c r="D751" s="152"/>
      <c r="E751" s="135"/>
    </row>
    <row r="752">
      <c r="C752" s="152"/>
      <c r="D752" s="152"/>
      <c r="E752" s="135"/>
    </row>
    <row r="753">
      <c r="C753" s="152"/>
      <c r="D753" s="152"/>
      <c r="E753" s="135"/>
    </row>
    <row r="754">
      <c r="C754" s="152"/>
      <c r="D754" s="152"/>
      <c r="E754" s="135"/>
    </row>
    <row r="755">
      <c r="C755" s="152"/>
      <c r="D755" s="152"/>
      <c r="E755" s="135"/>
    </row>
    <row r="756">
      <c r="C756" s="152"/>
      <c r="D756" s="152"/>
      <c r="E756" s="135"/>
    </row>
    <row r="757">
      <c r="C757" s="152"/>
      <c r="D757" s="152"/>
      <c r="E757" s="135"/>
    </row>
    <row r="758">
      <c r="C758" s="152"/>
      <c r="D758" s="152"/>
      <c r="E758" s="135"/>
    </row>
    <row r="759">
      <c r="C759" s="152"/>
      <c r="D759" s="152"/>
      <c r="E759" s="135"/>
    </row>
    <row r="760">
      <c r="C760" s="152"/>
      <c r="D760" s="152"/>
      <c r="E760" s="135"/>
    </row>
    <row r="761">
      <c r="C761" s="152"/>
      <c r="D761" s="152"/>
      <c r="E761" s="135"/>
    </row>
    <row r="762">
      <c r="C762" s="152"/>
      <c r="D762" s="152"/>
      <c r="E762" s="135"/>
    </row>
    <row r="763">
      <c r="C763" s="152"/>
      <c r="D763" s="152"/>
      <c r="E763" s="135"/>
    </row>
    <row r="764">
      <c r="C764" s="152"/>
      <c r="D764" s="152"/>
      <c r="E764" s="135"/>
    </row>
    <row r="765">
      <c r="C765" s="152"/>
      <c r="D765" s="152"/>
      <c r="E765" s="135"/>
    </row>
    <row r="766">
      <c r="C766" s="152"/>
      <c r="D766" s="152"/>
      <c r="E766" s="135"/>
    </row>
    <row r="767">
      <c r="C767" s="152"/>
      <c r="D767" s="152"/>
      <c r="E767" s="135"/>
    </row>
    <row r="768">
      <c r="C768" s="152"/>
      <c r="D768" s="152"/>
      <c r="E768" s="135"/>
    </row>
    <row r="769">
      <c r="C769" s="152"/>
      <c r="D769" s="152"/>
      <c r="E769" s="135"/>
    </row>
    <row r="770">
      <c r="C770" s="152"/>
      <c r="D770" s="152"/>
      <c r="E770" s="135"/>
    </row>
    <row r="771">
      <c r="C771" s="152"/>
      <c r="D771" s="152"/>
      <c r="E771" s="135"/>
    </row>
    <row r="772">
      <c r="C772" s="152"/>
      <c r="D772" s="152"/>
      <c r="E772" s="135"/>
    </row>
    <row r="773">
      <c r="C773" s="152"/>
      <c r="D773" s="152"/>
      <c r="E773" s="135"/>
    </row>
    <row r="774">
      <c r="C774" s="152"/>
      <c r="D774" s="152"/>
      <c r="E774" s="135"/>
    </row>
    <row r="775">
      <c r="C775" s="152"/>
      <c r="D775" s="152"/>
      <c r="E775" s="135"/>
    </row>
    <row r="776">
      <c r="C776" s="152"/>
      <c r="D776" s="152"/>
      <c r="E776" s="135"/>
    </row>
    <row r="777">
      <c r="C777" s="152"/>
      <c r="D777" s="152"/>
      <c r="E777" s="135"/>
    </row>
    <row r="778">
      <c r="C778" s="152"/>
      <c r="D778" s="152"/>
      <c r="E778" s="135"/>
    </row>
    <row r="779">
      <c r="C779" s="152"/>
      <c r="D779" s="152"/>
      <c r="E779" s="135"/>
    </row>
    <row r="780">
      <c r="C780" s="152"/>
      <c r="D780" s="152"/>
      <c r="E780" s="135"/>
    </row>
    <row r="781">
      <c r="C781" s="152"/>
      <c r="D781" s="152"/>
      <c r="E781" s="135"/>
    </row>
    <row r="782">
      <c r="C782" s="152"/>
      <c r="D782" s="152"/>
      <c r="E782" s="135"/>
    </row>
    <row r="783">
      <c r="C783" s="152"/>
      <c r="D783" s="152"/>
      <c r="E783" s="135"/>
    </row>
    <row r="784">
      <c r="C784" s="152"/>
      <c r="D784" s="152"/>
      <c r="E784" s="135"/>
    </row>
    <row r="785">
      <c r="C785" s="152"/>
      <c r="D785" s="152"/>
      <c r="E785" s="135"/>
    </row>
    <row r="786">
      <c r="C786" s="152"/>
      <c r="D786" s="152"/>
      <c r="E786" s="135"/>
    </row>
    <row r="787">
      <c r="C787" s="152"/>
      <c r="D787" s="152"/>
      <c r="E787" s="135"/>
    </row>
    <row r="788">
      <c r="C788" s="152"/>
      <c r="D788" s="152"/>
      <c r="E788" s="135"/>
    </row>
    <row r="789">
      <c r="C789" s="152"/>
      <c r="D789" s="152"/>
      <c r="E789" s="135"/>
    </row>
    <row r="790">
      <c r="C790" s="152"/>
      <c r="D790" s="152"/>
      <c r="E790" s="135"/>
    </row>
    <row r="791">
      <c r="C791" s="152"/>
      <c r="D791" s="152"/>
      <c r="E791" s="135"/>
    </row>
    <row r="792">
      <c r="C792" s="152"/>
      <c r="D792" s="152"/>
      <c r="E792" s="135"/>
    </row>
    <row r="793">
      <c r="C793" s="152"/>
      <c r="D793" s="152"/>
      <c r="E793" s="135"/>
    </row>
    <row r="794">
      <c r="C794" s="152"/>
      <c r="D794" s="152"/>
      <c r="E794" s="135"/>
    </row>
    <row r="795">
      <c r="C795" s="152"/>
      <c r="D795" s="152"/>
      <c r="E795" s="135"/>
    </row>
    <row r="796">
      <c r="C796" s="152"/>
      <c r="D796" s="152"/>
      <c r="E796" s="135"/>
    </row>
    <row r="797">
      <c r="C797" s="152"/>
      <c r="D797" s="152"/>
      <c r="E797" s="135"/>
    </row>
    <row r="798">
      <c r="C798" s="152"/>
      <c r="D798" s="152"/>
      <c r="E798" s="135"/>
    </row>
    <row r="799">
      <c r="C799" s="152"/>
      <c r="D799" s="152"/>
      <c r="E799" s="135"/>
    </row>
    <row r="800">
      <c r="C800" s="152"/>
      <c r="D800" s="152"/>
      <c r="E800" s="135"/>
    </row>
    <row r="801">
      <c r="C801" s="152"/>
      <c r="D801" s="152"/>
      <c r="E801" s="135"/>
    </row>
    <row r="802">
      <c r="C802" s="152"/>
      <c r="D802" s="152"/>
      <c r="E802" s="135"/>
    </row>
    <row r="803">
      <c r="C803" s="152"/>
      <c r="D803" s="152"/>
      <c r="E803" s="135"/>
    </row>
    <row r="804">
      <c r="C804" s="152"/>
      <c r="D804" s="152"/>
      <c r="E804" s="135"/>
    </row>
    <row r="805">
      <c r="C805" s="152"/>
      <c r="D805" s="152"/>
      <c r="E805" s="135"/>
    </row>
    <row r="806">
      <c r="C806" s="152"/>
      <c r="D806" s="152"/>
      <c r="E806" s="135"/>
    </row>
    <row r="807">
      <c r="C807" s="152"/>
      <c r="D807" s="152"/>
      <c r="E807" s="135"/>
    </row>
    <row r="808">
      <c r="C808" s="152"/>
      <c r="D808" s="152"/>
      <c r="E808" s="135"/>
    </row>
    <row r="809">
      <c r="C809" s="152"/>
      <c r="D809" s="152"/>
      <c r="E809" s="135"/>
    </row>
    <row r="810">
      <c r="C810" s="152"/>
      <c r="D810" s="152"/>
      <c r="E810" s="135"/>
    </row>
    <row r="811">
      <c r="C811" s="152"/>
      <c r="D811" s="152"/>
      <c r="E811" s="135"/>
    </row>
    <row r="812">
      <c r="C812" s="152"/>
      <c r="D812" s="152"/>
      <c r="E812" s="135"/>
    </row>
    <row r="813">
      <c r="C813" s="152"/>
      <c r="D813" s="152"/>
      <c r="E813" s="135"/>
    </row>
    <row r="814">
      <c r="C814" s="152"/>
      <c r="D814" s="152"/>
      <c r="E814" s="135"/>
    </row>
    <row r="815">
      <c r="C815" s="152"/>
      <c r="D815" s="152"/>
      <c r="E815" s="135"/>
    </row>
    <row r="816">
      <c r="C816" s="152"/>
      <c r="D816" s="152"/>
      <c r="E816" s="135"/>
    </row>
    <row r="817">
      <c r="C817" s="152"/>
      <c r="D817" s="152"/>
      <c r="E817" s="135"/>
    </row>
    <row r="818">
      <c r="C818" s="152"/>
      <c r="D818" s="152"/>
      <c r="E818" s="135"/>
    </row>
    <row r="819">
      <c r="C819" s="152"/>
      <c r="D819" s="152"/>
      <c r="E819" s="135"/>
    </row>
    <row r="820">
      <c r="C820" s="152"/>
      <c r="D820" s="152"/>
      <c r="E820" s="135"/>
    </row>
    <row r="821">
      <c r="C821" s="152"/>
      <c r="D821" s="152"/>
      <c r="E821" s="135"/>
    </row>
    <row r="822">
      <c r="C822" s="152"/>
      <c r="D822" s="152"/>
      <c r="E822" s="135"/>
    </row>
    <row r="823">
      <c r="C823" s="152"/>
      <c r="D823" s="152"/>
      <c r="E823" s="135"/>
    </row>
    <row r="824">
      <c r="C824" s="152"/>
      <c r="D824" s="152"/>
      <c r="E824" s="135"/>
    </row>
    <row r="825">
      <c r="C825" s="152"/>
      <c r="D825" s="152"/>
      <c r="E825" s="135"/>
    </row>
    <row r="826">
      <c r="C826" s="152"/>
      <c r="D826" s="152"/>
      <c r="E826" s="135"/>
    </row>
    <row r="827">
      <c r="C827" s="152"/>
      <c r="D827" s="152"/>
      <c r="E827" s="135"/>
    </row>
    <row r="828">
      <c r="C828" s="152"/>
      <c r="D828" s="152"/>
      <c r="E828" s="135"/>
    </row>
    <row r="829">
      <c r="C829" s="152"/>
      <c r="D829" s="152"/>
      <c r="E829" s="135"/>
    </row>
    <row r="830">
      <c r="C830" s="152"/>
      <c r="D830" s="152"/>
      <c r="E830" s="135"/>
    </row>
    <row r="831">
      <c r="C831" s="152"/>
      <c r="D831" s="152"/>
      <c r="E831" s="135"/>
    </row>
    <row r="832">
      <c r="C832" s="152"/>
      <c r="D832" s="152"/>
      <c r="E832" s="135"/>
    </row>
    <row r="833">
      <c r="C833" s="152"/>
      <c r="D833" s="152"/>
      <c r="E833" s="135"/>
    </row>
    <row r="834">
      <c r="C834" s="152"/>
      <c r="D834" s="152"/>
      <c r="E834" s="135"/>
    </row>
    <row r="835">
      <c r="C835" s="152"/>
      <c r="D835" s="152"/>
      <c r="E835" s="135"/>
    </row>
    <row r="836">
      <c r="C836" s="152"/>
      <c r="D836" s="152"/>
      <c r="E836" s="135"/>
    </row>
    <row r="837">
      <c r="C837" s="152"/>
      <c r="D837" s="152"/>
      <c r="E837" s="135"/>
    </row>
    <row r="838">
      <c r="C838" s="152"/>
      <c r="D838" s="152"/>
      <c r="E838" s="135"/>
    </row>
    <row r="839">
      <c r="C839" s="152"/>
      <c r="D839" s="152"/>
      <c r="E839" s="135"/>
    </row>
    <row r="840">
      <c r="C840" s="152"/>
      <c r="D840" s="152"/>
      <c r="E840" s="135"/>
    </row>
    <row r="841">
      <c r="C841" s="152"/>
      <c r="D841" s="152"/>
      <c r="E841" s="135"/>
    </row>
    <row r="842">
      <c r="C842" s="152"/>
      <c r="D842" s="152"/>
      <c r="E842" s="135"/>
    </row>
    <row r="843">
      <c r="C843" s="152"/>
      <c r="D843" s="152"/>
      <c r="E843" s="135"/>
    </row>
    <row r="844">
      <c r="C844" s="152"/>
      <c r="D844" s="152"/>
      <c r="E844" s="135"/>
    </row>
    <row r="845">
      <c r="C845" s="152"/>
      <c r="D845" s="152"/>
      <c r="E845" s="135"/>
    </row>
    <row r="846">
      <c r="C846" s="152"/>
      <c r="D846" s="152"/>
      <c r="E846" s="135"/>
    </row>
    <row r="847">
      <c r="C847" s="152"/>
      <c r="D847" s="152"/>
      <c r="E847" s="135"/>
    </row>
    <row r="848">
      <c r="C848" s="152"/>
      <c r="D848" s="152"/>
      <c r="E848" s="135"/>
    </row>
    <row r="849">
      <c r="C849" s="152"/>
      <c r="D849" s="152"/>
      <c r="E849" s="135"/>
    </row>
    <row r="850">
      <c r="C850" s="152"/>
      <c r="D850" s="152"/>
      <c r="E850" s="135"/>
    </row>
    <row r="851">
      <c r="C851" s="152"/>
      <c r="D851" s="152"/>
      <c r="E851" s="135"/>
    </row>
    <row r="852">
      <c r="C852" s="152"/>
      <c r="D852" s="152"/>
      <c r="E852" s="135"/>
    </row>
    <row r="853">
      <c r="C853" s="152"/>
      <c r="D853" s="152"/>
      <c r="E853" s="135"/>
    </row>
    <row r="854">
      <c r="C854" s="152"/>
      <c r="D854" s="152"/>
      <c r="E854" s="135"/>
    </row>
    <row r="855">
      <c r="C855" s="152"/>
      <c r="D855" s="152"/>
      <c r="E855" s="135"/>
    </row>
    <row r="856">
      <c r="C856" s="152"/>
      <c r="D856" s="152"/>
      <c r="E856" s="135"/>
    </row>
    <row r="857">
      <c r="C857" s="152"/>
      <c r="D857" s="152"/>
      <c r="E857" s="135"/>
    </row>
    <row r="858">
      <c r="C858" s="152"/>
      <c r="D858" s="152"/>
      <c r="E858" s="135"/>
    </row>
    <row r="859">
      <c r="C859" s="152"/>
      <c r="D859" s="152"/>
      <c r="E859" s="135"/>
    </row>
    <row r="860">
      <c r="C860" s="152"/>
      <c r="D860" s="152"/>
      <c r="E860" s="135"/>
    </row>
    <row r="861">
      <c r="C861" s="152"/>
      <c r="D861" s="152"/>
      <c r="E861" s="135"/>
    </row>
    <row r="862">
      <c r="C862" s="152"/>
      <c r="D862" s="152"/>
      <c r="E862" s="135"/>
    </row>
    <row r="863">
      <c r="C863" s="152"/>
      <c r="D863" s="152"/>
      <c r="E863" s="135"/>
    </row>
    <row r="864">
      <c r="C864" s="152"/>
      <c r="D864" s="152"/>
      <c r="E864" s="135"/>
    </row>
    <row r="865">
      <c r="C865" s="152"/>
      <c r="D865" s="152"/>
      <c r="E865" s="135"/>
    </row>
    <row r="866">
      <c r="C866" s="152"/>
      <c r="D866" s="152"/>
      <c r="E866" s="135"/>
    </row>
    <row r="867">
      <c r="C867" s="152"/>
      <c r="D867" s="152"/>
      <c r="E867" s="135"/>
    </row>
    <row r="868">
      <c r="C868" s="152"/>
      <c r="D868" s="152"/>
      <c r="E868" s="135"/>
    </row>
    <row r="869">
      <c r="C869" s="152"/>
      <c r="D869" s="152"/>
      <c r="E869" s="135"/>
    </row>
    <row r="870">
      <c r="C870" s="152"/>
      <c r="D870" s="152"/>
      <c r="E870" s="135"/>
    </row>
    <row r="871">
      <c r="C871" s="152"/>
      <c r="D871" s="152"/>
      <c r="E871" s="135"/>
    </row>
    <row r="872">
      <c r="C872" s="152"/>
      <c r="D872" s="152"/>
      <c r="E872" s="135"/>
    </row>
    <row r="873">
      <c r="C873" s="152"/>
      <c r="D873" s="152"/>
      <c r="E873" s="135"/>
    </row>
    <row r="874">
      <c r="C874" s="152"/>
      <c r="D874" s="152"/>
      <c r="E874" s="135"/>
    </row>
    <row r="875">
      <c r="C875" s="152"/>
      <c r="D875" s="152"/>
      <c r="E875" s="135"/>
    </row>
    <row r="876">
      <c r="C876" s="152"/>
      <c r="D876" s="152"/>
      <c r="E876" s="135"/>
    </row>
    <row r="877">
      <c r="C877" s="152"/>
      <c r="D877" s="152"/>
      <c r="E877" s="135"/>
    </row>
    <row r="878">
      <c r="C878" s="152"/>
      <c r="D878" s="152"/>
      <c r="E878" s="135"/>
    </row>
    <row r="879">
      <c r="C879" s="152"/>
      <c r="D879" s="152"/>
      <c r="E879" s="135"/>
    </row>
    <row r="880">
      <c r="C880" s="152"/>
      <c r="D880" s="152"/>
      <c r="E880" s="135"/>
    </row>
    <row r="881">
      <c r="C881" s="152"/>
      <c r="D881" s="152"/>
      <c r="E881" s="135"/>
    </row>
    <row r="882">
      <c r="C882" s="152"/>
      <c r="D882" s="152"/>
      <c r="E882" s="135"/>
    </row>
    <row r="883">
      <c r="C883" s="152"/>
      <c r="D883" s="152"/>
      <c r="E883" s="135"/>
    </row>
    <row r="884">
      <c r="C884" s="152"/>
      <c r="D884" s="152"/>
      <c r="E884" s="135"/>
    </row>
    <row r="885">
      <c r="C885" s="152"/>
      <c r="D885" s="152"/>
      <c r="E885" s="135"/>
    </row>
    <row r="886">
      <c r="C886" s="152"/>
      <c r="D886" s="152"/>
      <c r="E886" s="135"/>
    </row>
    <row r="887">
      <c r="C887" s="152"/>
      <c r="D887" s="152"/>
      <c r="E887" s="135"/>
    </row>
    <row r="888">
      <c r="C888" s="152"/>
      <c r="D888" s="152"/>
      <c r="E888" s="135"/>
    </row>
    <row r="889">
      <c r="C889" s="152"/>
      <c r="D889" s="152"/>
      <c r="E889" s="135"/>
    </row>
    <row r="890">
      <c r="C890" s="152"/>
      <c r="D890" s="152"/>
      <c r="E890" s="135"/>
    </row>
    <row r="891">
      <c r="C891" s="152"/>
      <c r="D891" s="152"/>
      <c r="E891" s="135"/>
    </row>
    <row r="892">
      <c r="C892" s="152"/>
      <c r="D892" s="152"/>
      <c r="E892" s="135"/>
    </row>
    <row r="893">
      <c r="C893" s="152"/>
      <c r="D893" s="152"/>
      <c r="E893" s="135"/>
    </row>
    <row r="894">
      <c r="C894" s="152"/>
      <c r="D894" s="152"/>
      <c r="E894" s="135"/>
    </row>
    <row r="895">
      <c r="C895" s="152"/>
      <c r="D895" s="152"/>
      <c r="E895" s="135"/>
    </row>
    <row r="896">
      <c r="C896" s="152"/>
      <c r="D896" s="152"/>
      <c r="E896" s="135"/>
    </row>
    <row r="897">
      <c r="C897" s="152"/>
      <c r="D897" s="152"/>
      <c r="E897" s="135"/>
    </row>
    <row r="898">
      <c r="C898" s="152"/>
      <c r="D898" s="152"/>
      <c r="E898" s="135"/>
    </row>
    <row r="899">
      <c r="C899" s="152"/>
      <c r="D899" s="152"/>
      <c r="E899" s="135"/>
    </row>
    <row r="900">
      <c r="C900" s="152"/>
      <c r="D900" s="152"/>
      <c r="E900" s="135"/>
    </row>
    <row r="901">
      <c r="C901" s="152"/>
      <c r="D901" s="152"/>
      <c r="E901" s="135"/>
    </row>
    <row r="902">
      <c r="C902" s="152"/>
      <c r="D902" s="152"/>
      <c r="E902" s="135"/>
    </row>
    <row r="903">
      <c r="C903" s="152"/>
      <c r="D903" s="152"/>
      <c r="E903" s="135"/>
    </row>
    <row r="904">
      <c r="C904" s="152"/>
      <c r="D904" s="152"/>
      <c r="E904" s="135"/>
    </row>
    <row r="905">
      <c r="C905" s="152"/>
      <c r="D905" s="152"/>
      <c r="E905" s="135"/>
    </row>
    <row r="906">
      <c r="C906" s="152"/>
      <c r="D906" s="152"/>
      <c r="E906" s="135"/>
    </row>
    <row r="907">
      <c r="C907" s="152"/>
      <c r="D907" s="152"/>
      <c r="E907" s="135"/>
    </row>
    <row r="908">
      <c r="C908" s="152"/>
      <c r="D908" s="152"/>
      <c r="E908" s="135"/>
    </row>
    <row r="909">
      <c r="C909" s="152"/>
      <c r="D909" s="152"/>
      <c r="E909" s="135"/>
    </row>
    <row r="910">
      <c r="C910" s="152"/>
      <c r="D910" s="152"/>
      <c r="E910" s="135"/>
    </row>
    <row r="911">
      <c r="C911" s="152"/>
      <c r="D911" s="152"/>
      <c r="E911" s="135"/>
    </row>
    <row r="912">
      <c r="C912" s="152"/>
      <c r="D912" s="152"/>
      <c r="E912" s="135"/>
    </row>
    <row r="913">
      <c r="C913" s="152"/>
      <c r="D913" s="152"/>
      <c r="E913" s="135"/>
    </row>
    <row r="914">
      <c r="C914" s="152"/>
      <c r="D914" s="152"/>
      <c r="E914" s="135"/>
    </row>
    <row r="915">
      <c r="C915" s="152"/>
      <c r="D915" s="152"/>
      <c r="E915" s="135"/>
    </row>
    <row r="916">
      <c r="C916" s="152"/>
      <c r="D916" s="152"/>
      <c r="E916" s="135"/>
    </row>
    <row r="917">
      <c r="C917" s="152"/>
      <c r="D917" s="152"/>
      <c r="E917" s="135"/>
    </row>
    <row r="918">
      <c r="C918" s="152"/>
      <c r="D918" s="152"/>
      <c r="E918" s="135"/>
    </row>
    <row r="919">
      <c r="C919" s="152"/>
      <c r="D919" s="152"/>
      <c r="E919" s="135"/>
    </row>
    <row r="920">
      <c r="C920" s="152"/>
      <c r="D920" s="152"/>
      <c r="E920" s="135"/>
    </row>
    <row r="921">
      <c r="C921" s="152"/>
      <c r="D921" s="152"/>
      <c r="E921" s="135"/>
    </row>
    <row r="922">
      <c r="C922" s="152"/>
      <c r="D922" s="152"/>
      <c r="E922" s="135"/>
    </row>
    <row r="923">
      <c r="C923" s="152"/>
      <c r="D923" s="152"/>
      <c r="E923" s="135"/>
    </row>
    <row r="924">
      <c r="C924" s="152"/>
      <c r="D924" s="152"/>
      <c r="E924" s="135"/>
    </row>
    <row r="925">
      <c r="C925" s="152"/>
      <c r="D925" s="152"/>
      <c r="E925" s="135"/>
    </row>
    <row r="926">
      <c r="C926" s="152"/>
      <c r="D926" s="152"/>
      <c r="E926" s="135"/>
    </row>
    <row r="927">
      <c r="C927" s="152"/>
      <c r="D927" s="152"/>
      <c r="E927" s="135"/>
    </row>
    <row r="928">
      <c r="C928" s="152"/>
      <c r="D928" s="152"/>
      <c r="E928" s="135"/>
    </row>
    <row r="929">
      <c r="C929" s="152"/>
      <c r="D929" s="152"/>
      <c r="E929" s="135"/>
    </row>
    <row r="930">
      <c r="C930" s="152"/>
      <c r="D930" s="152"/>
      <c r="E930" s="135"/>
    </row>
    <row r="931">
      <c r="C931" s="152"/>
      <c r="D931" s="152"/>
      <c r="E931" s="135"/>
    </row>
    <row r="932">
      <c r="C932" s="152"/>
      <c r="D932" s="152"/>
      <c r="E932" s="135"/>
    </row>
    <row r="933">
      <c r="C933" s="152"/>
      <c r="D933" s="152"/>
      <c r="E933" s="135"/>
    </row>
    <row r="934">
      <c r="C934" s="152"/>
      <c r="D934" s="152"/>
      <c r="E934" s="135"/>
    </row>
    <row r="935">
      <c r="C935" s="152"/>
      <c r="D935" s="152"/>
      <c r="E935" s="135"/>
    </row>
    <row r="936">
      <c r="C936" s="152"/>
      <c r="D936" s="152"/>
      <c r="E936" s="135"/>
    </row>
    <row r="937">
      <c r="C937" s="152"/>
      <c r="D937" s="152"/>
      <c r="E937" s="135"/>
    </row>
    <row r="938">
      <c r="C938" s="152"/>
      <c r="D938" s="152"/>
      <c r="E938" s="135"/>
    </row>
    <row r="939">
      <c r="C939" s="152"/>
      <c r="D939" s="152"/>
      <c r="E939" s="135"/>
    </row>
    <row r="940">
      <c r="C940" s="152"/>
      <c r="D940" s="152"/>
      <c r="E940" s="135"/>
    </row>
    <row r="941">
      <c r="C941" s="152"/>
      <c r="D941" s="152"/>
      <c r="E941" s="135"/>
    </row>
    <row r="942">
      <c r="C942" s="152"/>
      <c r="D942" s="152"/>
      <c r="E942" s="135"/>
    </row>
    <row r="943">
      <c r="C943" s="152"/>
      <c r="D943" s="152"/>
      <c r="E943" s="135"/>
    </row>
    <row r="944">
      <c r="C944" s="152"/>
      <c r="D944" s="152"/>
      <c r="E944" s="135"/>
    </row>
    <row r="945">
      <c r="C945" s="152"/>
      <c r="D945" s="152"/>
      <c r="E945" s="135"/>
    </row>
    <row r="946">
      <c r="C946" s="152"/>
      <c r="D946" s="152"/>
      <c r="E946" s="135"/>
    </row>
    <row r="947">
      <c r="C947" s="152"/>
      <c r="D947" s="152"/>
      <c r="E947" s="135"/>
    </row>
    <row r="948">
      <c r="C948" s="152"/>
      <c r="D948" s="152"/>
      <c r="E948" s="135"/>
    </row>
    <row r="949">
      <c r="C949" s="152"/>
      <c r="D949" s="152"/>
      <c r="E949" s="135"/>
    </row>
    <row r="950">
      <c r="C950" s="152"/>
      <c r="D950" s="152"/>
      <c r="E950" s="135"/>
    </row>
    <row r="951">
      <c r="C951" s="152"/>
      <c r="D951" s="152"/>
      <c r="E951" s="135"/>
    </row>
    <row r="952">
      <c r="C952" s="152"/>
      <c r="D952" s="152"/>
      <c r="E952" s="135"/>
    </row>
    <row r="953">
      <c r="C953" s="152"/>
      <c r="D953" s="152"/>
      <c r="E953" s="135"/>
    </row>
    <row r="954">
      <c r="C954" s="152"/>
      <c r="D954" s="152"/>
      <c r="E954" s="135"/>
    </row>
    <row r="955">
      <c r="C955" s="152"/>
      <c r="D955" s="152"/>
      <c r="E955" s="135"/>
    </row>
    <row r="956">
      <c r="C956" s="152"/>
      <c r="D956" s="152"/>
      <c r="E956" s="135"/>
    </row>
    <row r="957">
      <c r="C957" s="152"/>
      <c r="D957" s="152"/>
      <c r="E957" s="135"/>
    </row>
    <row r="958">
      <c r="C958" s="152"/>
      <c r="D958" s="152"/>
      <c r="E958" s="135"/>
    </row>
    <row r="959">
      <c r="C959" s="152"/>
      <c r="D959" s="152"/>
      <c r="E959" s="135"/>
    </row>
    <row r="960">
      <c r="C960" s="152"/>
      <c r="D960" s="152"/>
      <c r="E960" s="135"/>
    </row>
    <row r="961">
      <c r="C961" s="152"/>
      <c r="D961" s="152"/>
      <c r="E961" s="135"/>
    </row>
    <row r="962">
      <c r="C962" s="152"/>
      <c r="D962" s="152"/>
      <c r="E962" s="135"/>
    </row>
    <row r="963">
      <c r="C963" s="152"/>
      <c r="D963" s="152"/>
      <c r="E963" s="135"/>
    </row>
    <row r="964">
      <c r="C964" s="152"/>
      <c r="D964" s="152"/>
      <c r="E964" s="135"/>
    </row>
    <row r="965">
      <c r="C965" s="152"/>
      <c r="D965" s="152"/>
      <c r="E965" s="135"/>
    </row>
    <row r="966">
      <c r="C966" s="152"/>
      <c r="D966" s="152"/>
      <c r="E966" s="135"/>
    </row>
    <row r="967">
      <c r="C967" s="152"/>
      <c r="D967" s="152"/>
      <c r="E967" s="135"/>
    </row>
    <row r="968">
      <c r="C968" s="152"/>
      <c r="D968" s="152"/>
      <c r="E968" s="135"/>
    </row>
    <row r="969">
      <c r="C969" s="152"/>
      <c r="D969" s="152"/>
      <c r="E969" s="135"/>
    </row>
    <row r="970">
      <c r="C970" s="152"/>
      <c r="D970" s="152"/>
      <c r="E970" s="135"/>
    </row>
    <row r="971">
      <c r="C971" s="152"/>
      <c r="D971" s="152"/>
      <c r="E971" s="135"/>
    </row>
    <row r="972">
      <c r="C972" s="152"/>
      <c r="D972" s="152"/>
      <c r="E972" s="135"/>
    </row>
    <row r="973">
      <c r="C973" s="152"/>
      <c r="D973" s="152"/>
      <c r="E973" s="135"/>
    </row>
    <row r="974">
      <c r="C974" s="152"/>
      <c r="D974" s="152"/>
      <c r="E974" s="135"/>
    </row>
    <row r="975">
      <c r="C975" s="152"/>
      <c r="D975" s="152"/>
      <c r="E975" s="135"/>
    </row>
    <row r="976">
      <c r="C976" s="152"/>
      <c r="D976" s="152"/>
      <c r="E976" s="135"/>
    </row>
    <row r="977">
      <c r="C977" s="152"/>
      <c r="D977" s="152"/>
      <c r="E977" s="135"/>
    </row>
    <row r="978">
      <c r="C978" s="152"/>
      <c r="D978" s="152"/>
      <c r="E978" s="135"/>
    </row>
    <row r="979">
      <c r="C979" s="152"/>
      <c r="D979" s="152"/>
      <c r="E979" s="135"/>
    </row>
    <row r="980">
      <c r="C980" s="152"/>
      <c r="D980" s="152"/>
      <c r="E980" s="135"/>
    </row>
    <row r="981">
      <c r="C981" s="152"/>
      <c r="D981" s="152"/>
      <c r="E981" s="135"/>
    </row>
    <row r="982">
      <c r="C982" s="152"/>
      <c r="D982" s="152"/>
      <c r="E982" s="135"/>
    </row>
    <row r="983">
      <c r="C983" s="152"/>
      <c r="D983" s="152"/>
      <c r="E983" s="135"/>
    </row>
    <row r="984">
      <c r="C984" s="152"/>
      <c r="D984" s="152"/>
      <c r="E984" s="135"/>
    </row>
    <row r="985">
      <c r="C985" s="152"/>
      <c r="D985" s="152"/>
      <c r="E985" s="135"/>
    </row>
    <row r="986">
      <c r="C986" s="152"/>
      <c r="D986" s="152"/>
      <c r="E986" s="135"/>
    </row>
    <row r="987">
      <c r="C987" s="152"/>
      <c r="D987" s="152"/>
      <c r="E987" s="135"/>
    </row>
    <row r="988">
      <c r="C988" s="152"/>
      <c r="D988" s="152"/>
      <c r="E988" s="135"/>
    </row>
    <row r="989">
      <c r="C989" s="152"/>
      <c r="D989" s="152"/>
      <c r="E989" s="135"/>
    </row>
    <row r="990">
      <c r="C990" s="152"/>
      <c r="D990" s="152"/>
      <c r="E990" s="135"/>
    </row>
    <row r="991">
      <c r="C991" s="152"/>
      <c r="D991" s="152"/>
      <c r="E991" s="135"/>
    </row>
    <row r="992">
      <c r="C992" s="152"/>
      <c r="D992" s="152"/>
      <c r="E992" s="135"/>
    </row>
    <row r="993">
      <c r="C993" s="152"/>
      <c r="D993" s="152"/>
      <c r="E993" s="135"/>
    </row>
    <row r="994">
      <c r="C994" s="152"/>
      <c r="D994" s="152"/>
      <c r="E994" s="135"/>
    </row>
    <row r="995">
      <c r="C995" s="152"/>
      <c r="D995" s="152"/>
      <c r="E995" s="135"/>
    </row>
    <row r="996">
      <c r="C996" s="152"/>
      <c r="D996" s="152"/>
      <c r="E996" s="135"/>
    </row>
    <row r="997">
      <c r="C997" s="152"/>
      <c r="D997" s="152"/>
      <c r="E997" s="135"/>
    </row>
    <row r="998">
      <c r="C998" s="152"/>
      <c r="D998" s="152"/>
      <c r="E998" s="135"/>
    </row>
    <row r="999">
      <c r="C999" s="152"/>
      <c r="D999" s="152"/>
      <c r="E999" s="135"/>
    </row>
    <row r="1000">
      <c r="C1000" s="152"/>
      <c r="D1000" s="152"/>
      <c r="E1000" s="135"/>
    </row>
    <row r="1001">
      <c r="C1001" s="152"/>
      <c r="D1001" s="152"/>
      <c r="E1001" s="135"/>
    </row>
    <row r="1002">
      <c r="C1002" s="152"/>
      <c r="D1002" s="152"/>
      <c r="E1002" s="135"/>
    </row>
    <row r="1003">
      <c r="C1003" s="152"/>
      <c r="D1003" s="152"/>
      <c r="E1003" s="135"/>
    </row>
  </sheetData>
  <hyperlinks>
    <hyperlink r:id="rId1" ref="B18"/>
    <hyperlink r:id="rId2" ref="B19"/>
    <hyperlink r:id="rId3" ref="B20"/>
    <hyperlink r:id="rId4" ref="B21"/>
    <hyperlink r:id="rId5" ref="B22"/>
    <hyperlink r:id="rId6" ref="F43"/>
    <hyperlink r:id="rId7" ref="H84"/>
    <hyperlink r:id="rId8" ref="A85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tr">
        <f>IFERROR(__xludf.DUMMYFUNCTION("GOOGLEFINANCE(""SPY"", ""price"", TODAY()-365, TODAY())"),"Date")</f>
        <v>Date</v>
      </c>
      <c r="B1" s="18" t="str">
        <f>IFERROR(__xludf.DUMMYFUNCTION("""COMPUTED_VALUE"""),"Close")</f>
        <v>Close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O1" s="2" t="s">
        <v>385</v>
      </c>
      <c r="P1" s="2" t="s">
        <v>386</v>
      </c>
      <c r="Q1" s="2" t="s">
        <v>387</v>
      </c>
      <c r="R1" s="2" t="s">
        <v>388</v>
      </c>
      <c r="S1" s="2" t="s">
        <v>389</v>
      </c>
      <c r="T1" s="2" t="s">
        <v>390</v>
      </c>
      <c r="U1" s="2" t="s">
        <v>391</v>
      </c>
      <c r="V1" s="2" t="s">
        <v>392</v>
      </c>
      <c r="W1" s="2" t="s">
        <v>393</v>
      </c>
      <c r="X1" s="2" t="s">
        <v>394</v>
      </c>
      <c r="Y1" s="228" t="s">
        <v>395</v>
      </c>
      <c r="AA1" s="229" t="str">
        <f t="array" ref="AA1:AK1">"RS-Mom " &amp; C1:M1</f>
        <v>RS-Mom XLK</v>
      </c>
      <c r="AB1" s="18" t="s">
        <v>396</v>
      </c>
      <c r="AC1" s="18" t="s">
        <v>397</v>
      </c>
      <c r="AD1" s="18" t="s">
        <v>398</v>
      </c>
      <c r="AE1" s="18" t="s">
        <v>399</v>
      </c>
      <c r="AF1" s="18" t="s">
        <v>400</v>
      </c>
      <c r="AG1" s="18" t="s">
        <v>401</v>
      </c>
      <c r="AH1" s="18" t="s">
        <v>402</v>
      </c>
      <c r="AI1" s="18" t="s">
        <v>403</v>
      </c>
      <c r="AJ1" s="18" t="s">
        <v>404</v>
      </c>
      <c r="AK1" s="18" t="s">
        <v>405</v>
      </c>
    </row>
    <row r="2">
      <c r="A2" s="230">
        <f>IFERROR(__xludf.DUMMYFUNCTION("""COMPUTED_VALUE"""),45681.66666666667)</f>
        <v>45681.66667</v>
      </c>
      <c r="B2" s="18">
        <f>IFERROR(__xludf.DUMMYFUNCTION("""COMPUTED_VALUE"""),607.97)</f>
        <v>607.97</v>
      </c>
      <c r="C2" s="18">
        <f>IFERROR(__xludf.DUMMYFUNCTION("IFERROR(VLOOKUP($A2, GOOGLEFINANCE(C$1, ""price"", $A$2, TODAY()), 2, FALSE), """")"),119.65)</f>
        <v>119.65</v>
      </c>
      <c r="D2" s="18">
        <f>IFERROR(__xludf.DUMMYFUNCTION("IFERROR(VLOOKUP($A2, GOOGLEFINANCE(D$1, ""price"", $A$2, TODAY()), 2, FALSE), """")"),115.01)</f>
        <v>115.01</v>
      </c>
      <c r="E2" s="18">
        <f>IFERROR(__xludf.DUMMYFUNCTION("IFERROR(VLOOKUP($A2, GOOGLEFINANCE(E$1, ""price"", $A$2, TODAY()), 2, FALSE), """")"),50.85)</f>
        <v>50.85</v>
      </c>
      <c r="F2" s="18">
        <f>IFERROR(__xludf.DUMMYFUNCTION("IFERROR(VLOOKUP($A2, GOOGLEFINANCE(F$1, ""price"", $A$2, TODAY()), 2, FALSE), """")"),100.41)</f>
        <v>100.41</v>
      </c>
      <c r="G2" s="18">
        <f>IFERROR(__xludf.DUMMYFUNCTION("IFERROR(VLOOKUP($A2, GOOGLEFINANCE(G$1, ""price"", $A$2, TODAY()), 2, FALSE), """")"),144.31)</f>
        <v>144.31</v>
      </c>
      <c r="H2" s="18">
        <f>IFERROR(__xludf.DUMMYFUNCTION("IFERROR(VLOOKUP($A2, GOOGLEFINANCE(H$1, ""price"", $A$2, TODAY()), 2, FALSE), """")"),77.9)</f>
        <v>77.9</v>
      </c>
      <c r="I2" s="18">
        <f>IFERROR(__xludf.DUMMYFUNCTION("IFERROR(VLOOKUP($A2, GOOGLEFINANCE(I$1, ""price"", $A$2, TODAY()), 2, FALSE), """")"),141.07)</f>
        <v>141.07</v>
      </c>
      <c r="J2" s="18">
        <f>IFERROR(__xludf.DUMMYFUNCTION("IFERROR(VLOOKUP($A2, GOOGLEFINANCE(J$1, ""price"", $A$2, TODAY()), 2, FALSE), """")"),45.66)</f>
        <v>45.66</v>
      </c>
      <c r="K2" s="18">
        <f>IFERROR(__xludf.DUMMYFUNCTION("IFERROR(VLOOKUP($A2, GOOGLEFINANCE(K$1, ""price"", $A$2, TODAY()), 2, FALSE), """")"),44.5)</f>
        <v>44.5</v>
      </c>
      <c r="L2" s="18">
        <f>IFERROR(__xludf.DUMMYFUNCTION("IFERROR(VLOOKUP($A2, GOOGLEFINANCE(L$1, ""price"", $A$2, TODAY()), 2, FALSE), """")"),39.74)</f>
        <v>39.74</v>
      </c>
      <c r="M2" s="196">
        <f>IFERROR(__xludf.DUMMYFUNCTION("IFERROR(VLOOKUP($A2, GOOGLEFINANCE(M$1, ""price"", $A$2, TODAY()), 2, FALSE), """")"),41.55)</f>
        <v>41.55</v>
      </c>
      <c r="O2" s="106">
        <f t="array" ref="O2:Y252">C2:M252 / $B2:B252</f>
        <v>0.1968024738</v>
      </c>
      <c r="P2" s="18">
        <v>0.1891705182821521</v>
      </c>
      <c r="Q2" s="18">
        <v>0.08363899534516506</v>
      </c>
      <c r="R2" s="18">
        <v>0.16515617546918432</v>
      </c>
      <c r="S2" s="18">
        <v>0.23736368570817637</v>
      </c>
      <c r="T2" s="18">
        <v>0.1281313222691909</v>
      </c>
      <c r="U2" s="18">
        <v>0.2320344753852986</v>
      </c>
      <c r="V2" s="18">
        <v>0.07510238992055528</v>
      </c>
      <c r="W2" s="18">
        <v>0.07319440103952497</v>
      </c>
      <c r="X2" s="18">
        <v>0.06536506735529714</v>
      </c>
      <c r="Y2" s="196">
        <v>0.06834218793690477</v>
      </c>
      <c r="AA2" s="106">
        <f t="array" ref="AA2:AK252">IFERROR(IF(O2:Y252="", "", (O2:Y252 / O7:Y257) - 1), "")</f>
        <v>0.02625131952</v>
      </c>
      <c r="AB2" s="18">
        <v>-0.0193246505938085</v>
      </c>
      <c r="AC2" s="18">
        <v>-0.02203963126817099</v>
      </c>
      <c r="AD2" s="18">
        <v>-0.0291630248010889</v>
      </c>
      <c r="AE2" s="18">
        <v>-0.027369692020870806</v>
      </c>
      <c r="AF2" s="18">
        <v>-0.023651653987788235</v>
      </c>
      <c r="AG2" s="18">
        <v>0.009345775037082893</v>
      </c>
      <c r="AH2" s="18">
        <v>0.03144957329960252</v>
      </c>
      <c r="AI2" s="18">
        <v>-0.007886161405249448</v>
      </c>
      <c r="AJ2" s="18">
        <v>0.010220976778760438</v>
      </c>
      <c r="AK2" s="18">
        <v>-0.007008799029743162</v>
      </c>
    </row>
    <row r="3">
      <c r="A3" s="230">
        <f>IFERROR(__xludf.DUMMYFUNCTION("""COMPUTED_VALUE"""),45684.66666666667)</f>
        <v>45684.66667</v>
      </c>
      <c r="B3" s="18">
        <f>IFERROR(__xludf.DUMMYFUNCTION("""COMPUTED_VALUE"""),599.37)</f>
        <v>599.37</v>
      </c>
      <c r="C3" s="18">
        <f>IFERROR(__xludf.DUMMYFUNCTION("IFERROR(VLOOKUP($A3, GOOGLEFINANCE(C$1, ""price"", $A$2, TODAY()), 2, FALSE), """")"),113.79)</f>
        <v>113.79</v>
      </c>
      <c r="D3" s="18">
        <f>IFERROR(__xludf.DUMMYFUNCTION("IFERROR(VLOOKUP($A3, GOOGLEFINANCE(D$1, ""price"", $A$2, TODAY()), 2, FALSE), """")"),115.66)</f>
        <v>115.66</v>
      </c>
      <c r="E3" s="18">
        <f>IFERROR(__xludf.DUMMYFUNCTION("IFERROR(VLOOKUP($A3, GOOGLEFINANCE(E$1, ""price"", $A$2, TODAY()), 2, FALSE), """")"),51.41)</f>
        <v>51.41</v>
      </c>
      <c r="F3" s="18">
        <f>IFERROR(__xludf.DUMMYFUNCTION("IFERROR(VLOOKUP($A3, GOOGLEFINANCE(F$1, ""price"", $A$2, TODAY()), 2, FALSE), """")"),100.93)</f>
        <v>100.93</v>
      </c>
      <c r="G3" s="18">
        <f>IFERROR(__xludf.DUMMYFUNCTION("IFERROR(VLOOKUP($A3, GOOGLEFINANCE(G$1, ""price"", $A$2, TODAY()), 2, FALSE), """")"),147.55)</f>
        <v>147.55</v>
      </c>
      <c r="H3" s="18">
        <f>IFERROR(__xludf.DUMMYFUNCTION("IFERROR(VLOOKUP($A3, GOOGLEFINANCE(H$1, ""price"", $A$2, TODAY()), 2, FALSE), """")"),80.01)</f>
        <v>80.01</v>
      </c>
      <c r="I3" s="18">
        <f>IFERROR(__xludf.DUMMYFUNCTION("IFERROR(VLOOKUP($A3, GOOGLEFINANCE(I$1, ""price"", $A$2, TODAY()), 2, FALSE), """")"),139.18)</f>
        <v>139.18</v>
      </c>
      <c r="J3" s="18">
        <f>IFERROR(__xludf.DUMMYFUNCTION("IFERROR(VLOOKUP($A3, GOOGLEFINANCE(J$1, ""price"", $A$2, TODAY()), 2, FALSE), """")"),45.18)</f>
        <v>45.18</v>
      </c>
      <c r="K3" s="18">
        <f>IFERROR(__xludf.DUMMYFUNCTION("IFERROR(VLOOKUP($A3, GOOGLEFINANCE(K$1, ""price"", $A$2, TODAY()), 2, FALSE), """")"),44.53)</f>
        <v>44.53</v>
      </c>
      <c r="L3" s="18">
        <f>IFERROR(__xludf.DUMMYFUNCTION("IFERROR(VLOOKUP($A3, GOOGLEFINANCE(L$1, ""price"", $A$2, TODAY()), 2, FALSE), """")"),38.83)</f>
        <v>38.83</v>
      </c>
      <c r="M3" s="196">
        <f>IFERROR(__xludf.DUMMYFUNCTION("IFERROR(VLOOKUP($A3, GOOGLEFINANCE(M$1, ""price"", $A$2, TODAY()), 2, FALSE), """")"),41.96)</f>
        <v>41.96</v>
      </c>
      <c r="O3" s="18">
        <v>0.18984934180889934</v>
      </c>
      <c r="P3" s="18">
        <v>0.19296928441530273</v>
      </c>
      <c r="Q3" s="18">
        <v>0.08577339539850175</v>
      </c>
      <c r="R3" s="18">
        <v>0.16839347982047817</v>
      </c>
      <c r="S3" s="18">
        <v>0.24617515057477019</v>
      </c>
      <c r="T3" s="18">
        <v>0.13349016467290656</v>
      </c>
      <c r="U3" s="18">
        <v>0.23221048767872934</v>
      </c>
      <c r="V3" s="18">
        <v>0.07537914810551079</v>
      </c>
      <c r="W3" s="18">
        <v>0.07429467607654704</v>
      </c>
      <c r="X3" s="18">
        <v>0.06478469059178804</v>
      </c>
      <c r="Y3" s="196">
        <v>0.070006840515875</v>
      </c>
      <c r="Z3" s="20"/>
      <c r="AA3" s="18">
        <v>-0.0031950719973142805</v>
      </c>
      <c r="AB3" s="18">
        <v>0.006994754648062207</v>
      </c>
      <c r="AC3" s="18">
        <v>2.4897712372973224E-4</v>
      </c>
      <c r="AD3" s="18">
        <v>-0.01890282229739526</v>
      </c>
      <c r="AE3" s="18">
        <v>-0.0019253950143761633</v>
      </c>
      <c r="AF3" s="18">
        <v>0.006386880268928419</v>
      </c>
      <c r="AG3" s="18">
        <v>0.013348395530107027</v>
      </c>
      <c r="AH3" s="18">
        <v>0.021754951542657164</v>
      </c>
      <c r="AI3" s="18">
        <v>-6.496733060864512E-4</v>
      </c>
      <c r="AJ3" s="18">
        <v>-0.010821341122525308</v>
      </c>
      <c r="AK3" s="18">
        <v>0.012043266146906761</v>
      </c>
    </row>
    <row r="4">
      <c r="A4" s="230">
        <f>IFERROR(__xludf.DUMMYFUNCTION("""COMPUTED_VALUE"""),45685.66666666667)</f>
        <v>45685.66667</v>
      </c>
      <c r="B4" s="18">
        <f>IFERROR(__xludf.DUMMYFUNCTION("""COMPUTED_VALUE"""),604.52)</f>
        <v>604.52</v>
      </c>
      <c r="C4" s="18">
        <f>IFERROR(__xludf.DUMMYFUNCTION("IFERROR(VLOOKUP($A4, GOOGLEFINANCE(C$1, ""price"", $A$2, TODAY()), 2, FALSE), """")"),116.82)</f>
        <v>116.82</v>
      </c>
      <c r="D4" s="18">
        <f>IFERROR(__xludf.DUMMYFUNCTION("IFERROR(VLOOKUP($A4, GOOGLEFINANCE(D$1, ""price"", $A$2, TODAY()), 2, FALSE), """")"),115.8)</f>
        <v>115.8</v>
      </c>
      <c r="E4" s="18">
        <f>IFERROR(__xludf.DUMMYFUNCTION("IFERROR(VLOOKUP($A4, GOOGLEFINANCE(E$1, ""price"", $A$2, TODAY()), 2, FALSE), """")"),51.32)</f>
        <v>51.32</v>
      </c>
      <c r="F4" s="18">
        <f>IFERROR(__xludf.DUMMYFUNCTION("IFERROR(VLOOKUP($A4, GOOGLEFINANCE(F$1, ""price"", $A$2, TODAY()), 2, FALSE), """")"),101.42)</f>
        <v>101.42</v>
      </c>
      <c r="G4" s="18">
        <f>IFERROR(__xludf.DUMMYFUNCTION("IFERROR(VLOOKUP($A4, GOOGLEFINANCE(G$1, ""price"", $A$2, TODAY()), 2, FALSE), """")"),146.52)</f>
        <v>146.52</v>
      </c>
      <c r="H4" s="18">
        <f>IFERROR(__xludf.DUMMYFUNCTION("IFERROR(VLOOKUP($A4, GOOGLEFINANCE(H$1, ""price"", $A$2, TODAY()), 2, FALSE), """")"),78.76)</f>
        <v>78.76</v>
      </c>
      <c r="I4" s="18">
        <f>IFERROR(__xludf.DUMMYFUNCTION("IFERROR(VLOOKUP($A4, GOOGLEFINANCE(I$1, ""price"", $A$2, TODAY()), 2, FALSE), """")"),138.26)</f>
        <v>138.26</v>
      </c>
      <c r="J4" s="18">
        <f>IFERROR(__xludf.DUMMYFUNCTION("IFERROR(VLOOKUP($A4, GOOGLEFINANCE(J$1, ""price"", $A$2, TODAY()), 2, FALSE), """")"),44.75)</f>
        <v>44.75</v>
      </c>
      <c r="K4" s="18">
        <f>IFERROR(__xludf.DUMMYFUNCTION("IFERROR(VLOOKUP($A4, GOOGLEFINANCE(K$1, ""price"", $A$2, TODAY()), 2, FALSE), """")"),44.38)</f>
        <v>44.38</v>
      </c>
      <c r="L4" s="18">
        <f>IFERROR(__xludf.DUMMYFUNCTION("IFERROR(VLOOKUP($A4, GOOGLEFINANCE(L$1, ""price"", $A$2, TODAY()), 2, FALSE), """")"),38.29)</f>
        <v>38.29</v>
      </c>
      <c r="M4" s="196">
        <f>IFERROR(__xludf.DUMMYFUNCTION("IFERROR(VLOOKUP($A4, GOOGLEFINANCE(M$1, ""price"", $A$2, TODAY()), 2, FALSE), """")"),41.45)</f>
        <v>41.45</v>
      </c>
      <c r="O4" s="18">
        <v>0.1932442268245881</v>
      </c>
      <c r="P4" s="18">
        <v>0.19155693773572421</v>
      </c>
      <c r="Q4" s="18">
        <v>0.08489380003970093</v>
      </c>
      <c r="R4" s="18">
        <v>0.1677694699927215</v>
      </c>
      <c r="S4" s="18">
        <v>0.24237411500033088</v>
      </c>
      <c r="T4" s="18">
        <v>0.1302851849401178</v>
      </c>
      <c r="U4" s="18">
        <v>0.22871038179051148</v>
      </c>
      <c r="V4" s="18">
        <v>0.07402567326143056</v>
      </c>
      <c r="W4" s="18">
        <v>0.07341361741547013</v>
      </c>
      <c r="X4" s="18">
        <v>0.06333950903195924</v>
      </c>
      <c r="Y4" s="196">
        <v>0.06856679679745915</v>
      </c>
      <c r="AA4" s="18">
        <v>0.006931429721193538</v>
      </c>
      <c r="AB4" s="18">
        <v>-0.005391423722138855</v>
      </c>
      <c r="AC4" s="18">
        <v>-0.0010287253052165823</v>
      </c>
      <c r="AD4" s="18">
        <v>-0.024726510314722394</v>
      </c>
      <c r="AE4" s="18">
        <v>-0.008052945287682856</v>
      </c>
      <c r="AF4" s="18">
        <v>-0.002759875435460857</v>
      </c>
      <c r="AG4" s="18">
        <v>0.004476233789913797</v>
      </c>
      <c r="AH4" s="18">
        <v>-0.010502673139411889</v>
      </c>
      <c r="AI4" s="18">
        <v>-0.008776156870504592</v>
      </c>
      <c r="AJ4" s="18">
        <v>-0.01787040079225899</v>
      </c>
      <c r="AK4" s="18">
        <v>-0.002125103342806245</v>
      </c>
    </row>
    <row r="5">
      <c r="A5" s="230">
        <f>IFERROR(__xludf.DUMMYFUNCTION("""COMPUTED_VALUE"""),45686.66666666667)</f>
        <v>45686.66667</v>
      </c>
      <c r="B5" s="18">
        <f>IFERROR(__xludf.DUMMYFUNCTION("""COMPUTED_VALUE"""),601.81)</f>
        <v>601.81</v>
      </c>
      <c r="C5" s="18">
        <f>IFERROR(__xludf.DUMMYFUNCTION("IFERROR(VLOOKUP($A5, GOOGLEFINANCE(C$1, ""price"", $A$2, TODAY()), 2, FALSE), """")"),115.87)</f>
        <v>115.87</v>
      </c>
      <c r="D5" s="18">
        <f>IFERROR(__xludf.DUMMYFUNCTION("IFERROR(VLOOKUP($A5, GOOGLEFINANCE(D$1, ""price"", $A$2, TODAY()), 2, FALSE), """")"),115.47)</f>
        <v>115.47</v>
      </c>
      <c r="E5" s="18">
        <f>IFERROR(__xludf.DUMMYFUNCTION("IFERROR(VLOOKUP($A5, GOOGLEFINANCE(E$1, ""price"", $A$2, TODAY()), 2, FALSE), """")"),51.28)</f>
        <v>51.28</v>
      </c>
      <c r="F5" s="18">
        <f>IFERROR(__xludf.DUMMYFUNCTION("IFERROR(VLOOKUP($A5, GOOGLEFINANCE(F$1, ""price"", $A$2, TODAY()), 2, FALSE), """")"),101.87)</f>
        <v>101.87</v>
      </c>
      <c r="G5" s="18">
        <f>IFERROR(__xludf.DUMMYFUNCTION("IFERROR(VLOOKUP($A5, GOOGLEFINANCE(G$1, ""price"", $A$2, TODAY()), 2, FALSE), """")"),145.66)</f>
        <v>145.66</v>
      </c>
      <c r="H5" s="18">
        <f>IFERROR(__xludf.DUMMYFUNCTION("IFERROR(VLOOKUP($A5, GOOGLEFINANCE(H$1, ""price"", $A$2, TODAY()), 2, FALSE), """")"),78.95)</f>
        <v>78.95</v>
      </c>
      <c r="I5" s="18">
        <f>IFERROR(__xludf.DUMMYFUNCTION("IFERROR(VLOOKUP($A5, GOOGLEFINANCE(I$1, ""price"", $A$2, TODAY()), 2, FALSE), """")"),137.79)</f>
        <v>137.79</v>
      </c>
      <c r="J5" s="18">
        <f>IFERROR(__xludf.DUMMYFUNCTION("IFERROR(VLOOKUP($A5, GOOGLEFINANCE(J$1, ""price"", $A$2, TODAY()), 2, FALSE), """")"),44.85)</f>
        <v>44.85</v>
      </c>
      <c r="K5" s="18">
        <f>IFERROR(__xludf.DUMMYFUNCTION("IFERROR(VLOOKUP($A5, GOOGLEFINANCE(K$1, ""price"", $A$2, TODAY()), 2, FALSE), """")"),44.3)</f>
        <v>44.3</v>
      </c>
      <c r="L5" s="18">
        <f>IFERROR(__xludf.DUMMYFUNCTION("IFERROR(VLOOKUP($A5, GOOGLEFINANCE(L$1, ""price"", $A$2, TODAY()), 2, FALSE), """")"),38.37)</f>
        <v>38.37</v>
      </c>
      <c r="M5" s="196">
        <f>IFERROR(__xludf.DUMMYFUNCTION("IFERROR(VLOOKUP($A5, GOOGLEFINANCE(M$1, ""price"", $A$2, TODAY()), 2, FALSE), """")"),40.97)</f>
        <v>40.97</v>
      </c>
      <c r="O5" s="18">
        <v>0.19253585018527444</v>
      </c>
      <c r="P5" s="18">
        <v>0.19187118858111366</v>
      </c>
      <c r="Q5" s="18">
        <v>0.08520961765341221</v>
      </c>
      <c r="R5" s="18">
        <v>0.1692726940396471</v>
      </c>
      <c r="S5" s="18">
        <v>0.24203652315514865</v>
      </c>
      <c r="T5" s="18">
        <v>0.1311875841212343</v>
      </c>
      <c r="U5" s="18">
        <v>0.22895930609328527</v>
      </c>
      <c r="V5" s="18">
        <v>0.07452518236652765</v>
      </c>
      <c r="W5" s="18">
        <v>0.07361127266080657</v>
      </c>
      <c r="X5" s="18">
        <v>0.06375766437912297</v>
      </c>
      <c r="Y5" s="196">
        <v>0.06807796480616807</v>
      </c>
      <c r="AA5" s="18">
        <v>-0.006541320248108162</v>
      </c>
      <c r="AB5" s="18">
        <v>0.011714892787158648</v>
      </c>
      <c r="AC5" s="18">
        <v>-0.0037663471643821778</v>
      </c>
      <c r="AD5" s="18">
        <v>-0.002361030114752416</v>
      </c>
      <c r="AE5" s="18">
        <v>-0.014864883659117978</v>
      </c>
      <c r="AF5" s="18">
        <v>0.001973986572268993</v>
      </c>
      <c r="AG5" s="18">
        <v>0.008910384536791272</v>
      </c>
      <c r="AH5" s="18">
        <v>-0.0020034200021422643</v>
      </c>
      <c r="AI5" s="18">
        <v>-0.0014054071146710756</v>
      </c>
      <c r="AJ5" s="18">
        <v>-0.017253674205263247</v>
      </c>
      <c r="AK5" s="18">
        <v>-0.020617431067074476</v>
      </c>
    </row>
    <row r="6">
      <c r="A6" s="230">
        <f>IFERROR(__xludf.DUMMYFUNCTION("""COMPUTED_VALUE"""),45687.66666666667)</f>
        <v>45687.66667</v>
      </c>
      <c r="B6" s="18">
        <f>IFERROR(__xludf.DUMMYFUNCTION("""COMPUTED_VALUE"""),605.04)</f>
        <v>605.04</v>
      </c>
      <c r="C6" s="18">
        <f>IFERROR(__xludf.DUMMYFUNCTION("IFERROR(VLOOKUP($A6, GOOGLEFINANCE(C$1, ""price"", $A$2, TODAY()), 2, FALSE), """")"),116.09)</f>
        <v>116.09</v>
      </c>
      <c r="D6" s="18">
        <f>IFERROR(__xludf.DUMMYFUNCTION("IFERROR(VLOOKUP($A6, GOOGLEFINANCE(D$1, ""price"", $A$2, TODAY()), 2, FALSE), """")"),116.6)</f>
        <v>116.6</v>
      </c>
      <c r="E6" s="18">
        <f>IFERROR(__xludf.DUMMYFUNCTION("IFERROR(VLOOKUP($A6, GOOGLEFINANCE(E$1, ""price"", $A$2, TODAY()), 2, FALSE), """")"),51.77)</f>
        <v>51.77</v>
      </c>
      <c r="F6" s="18">
        <f>IFERROR(__xludf.DUMMYFUNCTION("IFERROR(VLOOKUP($A6, GOOGLEFINANCE(F$1, ""price"", $A$2, TODAY()), 2, FALSE), """")"),101.97)</f>
        <v>101.97</v>
      </c>
      <c r="G6" s="18">
        <f>IFERROR(__xludf.DUMMYFUNCTION("IFERROR(VLOOKUP($A6, GOOGLEFINANCE(G$1, ""price"", $A$2, TODAY()), 2, FALSE), """")"),147.34)</f>
        <v>147.34</v>
      </c>
      <c r="H6" s="18">
        <f>IFERROR(__xludf.DUMMYFUNCTION("IFERROR(VLOOKUP($A6, GOOGLEFINANCE(H$1, ""price"", $A$2, TODAY()), 2, FALSE), """")"),79.73)</f>
        <v>79.73</v>
      </c>
      <c r="I6" s="18">
        <f>IFERROR(__xludf.DUMMYFUNCTION("IFERROR(VLOOKUP($A6, GOOGLEFINANCE(I$1, ""price"", $A$2, TODAY()), 2, FALSE), """")"),139.33)</f>
        <v>139.33</v>
      </c>
      <c r="J6" s="18">
        <f>IFERROR(__xludf.DUMMYFUNCTION("IFERROR(VLOOKUP($A6, GOOGLEFINANCE(J$1, ""price"", $A$2, TODAY()), 2, FALSE), """")"),45.08)</f>
        <v>45.08</v>
      </c>
      <c r="K6" s="18">
        <f>IFERROR(__xludf.DUMMYFUNCTION("IFERROR(VLOOKUP($A6, GOOGLEFINANCE(K$1, ""price"", $A$2, TODAY()), 2, FALSE), """")"),44.72)</f>
        <v>44.72</v>
      </c>
      <c r="L6" s="18">
        <f>IFERROR(__xludf.DUMMYFUNCTION("IFERROR(VLOOKUP($A6, GOOGLEFINANCE(L$1, ""price"", $A$2, TODAY()), 2, FALSE), """")"),39.17)</f>
        <v>39.17</v>
      </c>
      <c r="M6" s="196">
        <f>IFERROR(__xludf.DUMMYFUNCTION("IFERROR(VLOOKUP($A6, GOOGLEFINANCE(M$1, ""price"", $A$2, TODAY()), 2, FALSE), """")"),41.51)</f>
        <v>41.51</v>
      </c>
      <c r="O6" s="18">
        <v>0.19187161179426154</v>
      </c>
      <c r="P6" s="18">
        <v>0.1927145312706598</v>
      </c>
      <c r="Q6" s="18">
        <v>0.08556459077085814</v>
      </c>
      <c r="R6" s="18">
        <v>0.16853431178103928</v>
      </c>
      <c r="S6" s="18">
        <v>0.24352108951474286</v>
      </c>
      <c r="T6" s="18">
        <v>0.13177641147692715</v>
      </c>
      <c r="U6" s="18">
        <v>0.2302822953854291</v>
      </c>
      <c r="V6" s="18">
        <v>0.0745074705804575</v>
      </c>
      <c r="W6" s="18">
        <v>0.07391246859711754</v>
      </c>
      <c r="X6" s="18">
        <v>0.06473952135396008</v>
      </c>
      <c r="Y6" s="196">
        <v>0.0686070342456697</v>
      </c>
      <c r="AA6" s="18">
        <v>-0.009235260917248689</v>
      </c>
      <c r="AB6" s="18">
        <v>0.01570475139105043</v>
      </c>
      <c r="AC6" s="18">
        <v>-0.0044229000923678985</v>
      </c>
      <c r="AD6" s="18">
        <v>-0.0075201639561017775</v>
      </c>
      <c r="AE6" s="18">
        <v>0.0036141040958326265</v>
      </c>
      <c r="AF6" s="18">
        <v>0.005394158886252498</v>
      </c>
      <c r="AG6" s="18">
        <v>0.013683471308939765</v>
      </c>
      <c r="AH6" s="18">
        <v>0.01999028138051462</v>
      </c>
      <c r="AI6" s="18">
        <v>0.0027882738823967745</v>
      </c>
      <c r="AJ6" s="18">
        <v>0.002627499037881842</v>
      </c>
      <c r="AK6" s="18">
        <v>-0.012397507031470578</v>
      </c>
    </row>
    <row r="7">
      <c r="A7" s="230">
        <f>IFERROR(__xludf.DUMMYFUNCTION("""COMPUTED_VALUE"""),45688.66666666667)</f>
        <v>45688.66667</v>
      </c>
      <c r="B7" s="18">
        <f>IFERROR(__xludf.DUMMYFUNCTION("""COMPUTED_VALUE"""),601.82)</f>
        <v>601.82</v>
      </c>
      <c r="C7" s="18">
        <f>IFERROR(__xludf.DUMMYFUNCTION("IFERROR(VLOOKUP($A7, GOOGLEFINANCE(C$1, ""price"", $A$2, TODAY()), 2, FALSE), """")"),115.41)</f>
        <v>115.41</v>
      </c>
      <c r="D7" s="18">
        <f>IFERROR(__xludf.DUMMYFUNCTION("IFERROR(VLOOKUP($A7, GOOGLEFINANCE(D$1, ""price"", $A$2, TODAY()), 2, FALSE), """")"),116.09)</f>
        <v>116.09</v>
      </c>
      <c r="E7" s="18">
        <f>IFERROR(__xludf.DUMMYFUNCTION("IFERROR(VLOOKUP($A7, GOOGLEFINANCE(E$1, ""price"", $A$2, TODAY()), 2, FALSE), """")"),51.47)</f>
        <v>51.47</v>
      </c>
      <c r="F7" s="18">
        <f>IFERROR(__xludf.DUMMYFUNCTION("IFERROR(VLOOKUP($A7, GOOGLEFINANCE(F$1, ""price"", $A$2, TODAY()), 2, FALSE), """")"),102.38)</f>
        <v>102.38</v>
      </c>
      <c r="G7" s="18">
        <f>IFERROR(__xludf.DUMMYFUNCTION("IFERROR(VLOOKUP($A7, GOOGLEFINANCE(G$1, ""price"", $A$2, TODAY()), 2, FALSE), """")"),146.87)</f>
        <v>146.87</v>
      </c>
      <c r="H7" s="18">
        <f>IFERROR(__xludf.DUMMYFUNCTION("IFERROR(VLOOKUP($A7, GOOGLEFINANCE(H$1, ""price"", $A$2, TODAY()), 2, FALSE), """")"),78.98)</f>
        <v>78.98</v>
      </c>
      <c r="I7" s="18">
        <f>IFERROR(__xludf.DUMMYFUNCTION("IFERROR(VLOOKUP($A7, GOOGLEFINANCE(I$1, ""price"", $A$2, TODAY()), 2, FALSE), """")"),138.35)</f>
        <v>138.35</v>
      </c>
      <c r="J7" s="18">
        <f>IFERROR(__xludf.DUMMYFUNCTION("IFERROR(VLOOKUP($A7, GOOGLEFINANCE(J$1, ""price"", $A$2, TODAY()), 2, FALSE), """")"),43.82)</f>
        <v>43.82</v>
      </c>
      <c r="K7" s="18">
        <f>IFERROR(__xludf.DUMMYFUNCTION("IFERROR(VLOOKUP($A7, GOOGLEFINANCE(K$1, ""price"", $A$2, TODAY()), 2, FALSE), """")"),44.4)</f>
        <v>44.4</v>
      </c>
      <c r="L7" s="18">
        <f>IFERROR(__xludf.DUMMYFUNCTION("IFERROR(VLOOKUP($A7, GOOGLEFINANCE(L$1, ""price"", $A$2, TODAY()), 2, FALSE), """")"),38.94)</f>
        <v>38.94</v>
      </c>
      <c r="M7" s="196">
        <f>IFERROR(__xludf.DUMMYFUNCTION("IFERROR(VLOOKUP($A7, GOOGLEFINANCE(M$1, ""price"", $A$2, TODAY()), 2, FALSE), """")"),41.42)</f>
        <v>41.42</v>
      </c>
      <c r="O7" s="18">
        <v>0.1917683028147951</v>
      </c>
      <c r="P7" s="18">
        <v>0.19289820876674088</v>
      </c>
      <c r="Q7" s="18">
        <v>0.08552391080389485</v>
      </c>
      <c r="R7" s="18">
        <v>0.17011731082383436</v>
      </c>
      <c r="S7" s="18">
        <v>0.24404306935628592</v>
      </c>
      <c r="T7" s="18">
        <v>0.1312352530657007</v>
      </c>
      <c r="U7" s="18">
        <v>0.22988601242896545</v>
      </c>
      <c r="V7" s="18">
        <v>0.072812468844505</v>
      </c>
      <c r="W7" s="18">
        <v>0.07377621215645873</v>
      </c>
      <c r="X7" s="18">
        <v>0.06470373201289421</v>
      </c>
      <c r="Y7" s="196">
        <v>0.06882456548469641</v>
      </c>
      <c r="AA7" s="18">
        <v>-0.010320047401044086</v>
      </c>
      <c r="AB7" s="18">
        <v>0.027462158709060436</v>
      </c>
      <c r="AC7" s="18">
        <v>-0.008487072681283236</v>
      </c>
      <c r="AD7" s="18">
        <v>-0.005242584936393069</v>
      </c>
      <c r="AE7" s="18">
        <v>0.0012548984304847632</v>
      </c>
      <c r="AF7" s="18">
        <v>-0.00639945829513533</v>
      </c>
      <c r="AG7" s="18">
        <v>0.005669698441342463</v>
      </c>
      <c r="AH7" s="18">
        <v>-0.012115020151010292</v>
      </c>
      <c r="AI7" s="18">
        <v>0.003907927004206391</v>
      </c>
      <c r="AJ7" s="18">
        <v>-0.005066263593896725</v>
      </c>
      <c r="AK7" s="18">
        <v>-0.01482644254846166</v>
      </c>
    </row>
    <row r="8">
      <c r="A8" s="230">
        <f>IFERROR(__xludf.DUMMYFUNCTION("""COMPUTED_VALUE"""),45691.66666666667)</f>
        <v>45691.66667</v>
      </c>
      <c r="B8" s="18">
        <f>IFERROR(__xludf.DUMMYFUNCTION("""COMPUTED_VALUE"""),597.77)</f>
        <v>597.77</v>
      </c>
      <c r="C8" s="18">
        <f>IFERROR(__xludf.DUMMYFUNCTION("IFERROR(VLOOKUP($A8, GOOGLEFINANCE(C$1, ""price"", $A$2, TODAY()), 2, FALSE), """")"),113.85)</f>
        <v>113.85</v>
      </c>
      <c r="D8" s="18">
        <f>IFERROR(__xludf.DUMMYFUNCTION("IFERROR(VLOOKUP($A8, GOOGLEFINANCE(D$1, ""price"", $A$2, TODAY()), 2, FALSE), """")"),114.55)</f>
        <v>114.55</v>
      </c>
      <c r="E8" s="18">
        <f>IFERROR(__xludf.DUMMYFUNCTION("IFERROR(VLOOKUP($A8, GOOGLEFINANCE(E$1, ""price"", $A$2, TODAY()), 2, FALSE), """")"),51.26)</f>
        <v>51.26</v>
      </c>
      <c r="F8" s="18">
        <f>IFERROR(__xludf.DUMMYFUNCTION("IFERROR(VLOOKUP($A8, GOOGLEFINANCE(F$1, ""price"", $A$2, TODAY()), 2, FALSE), """")"),102.6)</f>
        <v>102.6</v>
      </c>
      <c r="G8" s="18">
        <f>IFERROR(__xludf.DUMMYFUNCTION("IFERROR(VLOOKUP($A8, GOOGLEFINANCE(G$1, ""price"", $A$2, TODAY()), 2, FALSE), """")"),147.44)</f>
        <v>147.44</v>
      </c>
      <c r="H8" s="18">
        <f>IFERROR(__xludf.DUMMYFUNCTION("IFERROR(VLOOKUP($A8, GOOGLEFINANCE(H$1, ""price"", $A$2, TODAY()), 2, FALSE), """")"),79.29)</f>
        <v>79.29</v>
      </c>
      <c r="I8" s="18">
        <f>IFERROR(__xludf.DUMMYFUNCTION("IFERROR(VLOOKUP($A8, GOOGLEFINANCE(I$1, ""price"", $A$2, TODAY()), 2, FALSE), """")"),136.98)</f>
        <v>136.98</v>
      </c>
      <c r="J8" s="18">
        <f>IFERROR(__xludf.DUMMYFUNCTION("IFERROR(VLOOKUP($A8, GOOGLEFINANCE(J$1, ""price"", $A$2, TODAY()), 2, FALSE), """")"),44.1)</f>
        <v>44.1</v>
      </c>
      <c r="K8" s="18">
        <f>IFERROR(__xludf.DUMMYFUNCTION("IFERROR(VLOOKUP($A8, GOOGLEFINANCE(K$1, ""price"", $A$2, TODAY()), 2, FALSE), """")"),44.44)</f>
        <v>44.44</v>
      </c>
      <c r="L8" s="18">
        <f>IFERROR(__xludf.DUMMYFUNCTION("IFERROR(VLOOKUP($A8, GOOGLEFINANCE(L$1, ""price"", $A$2, TODAY()), 2, FALSE), """")"),39.15)</f>
        <v>39.15</v>
      </c>
      <c r="M8" s="196">
        <f>IFERROR(__xludf.DUMMYFUNCTION("IFERROR(VLOOKUP($A8, GOOGLEFINANCE(M$1, ""price"", $A$2, TODAY()), 2, FALSE), """")"),41.35)</f>
        <v>41.35</v>
      </c>
      <c r="O8" s="18">
        <v>0.19045786841092727</v>
      </c>
      <c r="P8" s="18">
        <v>0.19162888736470549</v>
      </c>
      <c r="Q8" s="18">
        <v>0.08575204510095856</v>
      </c>
      <c r="R8" s="18">
        <v>0.17163792093949176</v>
      </c>
      <c r="S8" s="18">
        <v>0.24665004935008447</v>
      </c>
      <c r="T8" s="18">
        <v>0.13264298977867744</v>
      </c>
      <c r="U8" s="18">
        <v>0.22915168041219866</v>
      </c>
      <c r="V8" s="18">
        <v>0.07377419408802717</v>
      </c>
      <c r="W8" s="18">
        <v>0.07434297472271945</v>
      </c>
      <c r="X8" s="18">
        <v>0.06549341720059555</v>
      </c>
      <c r="Y8" s="196">
        <v>0.06917376248389849</v>
      </c>
      <c r="AA8" s="18">
        <v>-0.024651242838461096</v>
      </c>
      <c r="AB8" s="18">
        <v>0.02409199966904141</v>
      </c>
      <c r="AC8" s="18">
        <v>0.008891742449227635</v>
      </c>
      <c r="AD8" s="18">
        <v>0.005961206203988212</v>
      </c>
      <c r="AE8" s="18">
        <v>0.01972851913464524</v>
      </c>
      <c r="AF8" s="18">
        <v>0.0048736518992116284</v>
      </c>
      <c r="AG8" s="18">
        <v>3.059605753346073E-4</v>
      </c>
      <c r="AH8" s="18">
        <v>-0.014089233448006278</v>
      </c>
      <c r="AI8" s="18">
        <v>0.013440348456994933</v>
      </c>
      <c r="AJ8" s="18">
        <v>0.00313227130362681</v>
      </c>
      <c r="AK8" s="18">
        <v>-0.004526522998191784</v>
      </c>
    </row>
    <row r="9">
      <c r="A9" s="230">
        <f>IFERROR(__xludf.DUMMYFUNCTION("""COMPUTED_VALUE"""),45692.66666666667)</f>
        <v>45692.66667</v>
      </c>
      <c r="B9" s="18">
        <f>IFERROR(__xludf.DUMMYFUNCTION("""COMPUTED_VALUE"""),601.78)</f>
        <v>601.78</v>
      </c>
      <c r="C9" s="18">
        <f>IFERROR(__xludf.DUMMYFUNCTION("IFERROR(VLOOKUP($A9, GOOGLEFINANCE(C$1, ""price"", $A$2, TODAY()), 2, FALSE), """")"),115.49)</f>
        <v>115.49</v>
      </c>
      <c r="D9" s="18">
        <f>IFERROR(__xludf.DUMMYFUNCTION("IFERROR(VLOOKUP($A9, GOOGLEFINANCE(D$1, ""price"", $A$2, TODAY()), 2, FALSE), """")"),115.9)</f>
        <v>115.9</v>
      </c>
      <c r="E9" s="18">
        <f>IFERROR(__xludf.DUMMYFUNCTION("IFERROR(VLOOKUP($A9, GOOGLEFINANCE(E$1, ""price"", $A$2, TODAY()), 2, FALSE), """")"),51.14)</f>
        <v>51.14</v>
      </c>
      <c r="F9" s="18">
        <f>IFERROR(__xludf.DUMMYFUNCTION("IFERROR(VLOOKUP($A9, GOOGLEFINANCE(F$1, ""price"", $A$2, TODAY()), 2, FALSE), """")"),103.52)</f>
        <v>103.52</v>
      </c>
      <c r="G9" s="18">
        <f>IFERROR(__xludf.DUMMYFUNCTION("IFERROR(VLOOKUP($A9, GOOGLEFINANCE(G$1, ""price"", $A$2, TODAY()), 2, FALSE), """")"),147.04)</f>
        <v>147.04</v>
      </c>
      <c r="H9" s="18">
        <f>IFERROR(__xludf.DUMMYFUNCTION("IFERROR(VLOOKUP($A9, GOOGLEFINANCE(H$1, ""price"", $A$2, TODAY()), 2, FALSE), """")"),78.62)</f>
        <v>78.62</v>
      </c>
      <c r="I9" s="18">
        <f>IFERROR(__xludf.DUMMYFUNCTION("IFERROR(VLOOKUP($A9, GOOGLEFINANCE(I$1, ""price"", $A$2, TODAY()), 2, FALSE), """")"),137.02)</f>
        <v>137.02</v>
      </c>
      <c r="J9" s="18">
        <f>IFERROR(__xludf.DUMMYFUNCTION("IFERROR(VLOOKUP($A9, GOOGLEFINANCE(J$1, ""price"", $A$2, TODAY()), 2, FALSE), """")"),45.02)</f>
        <v>45.02</v>
      </c>
      <c r="K9" s="18">
        <f>IFERROR(__xludf.DUMMYFUNCTION("IFERROR(VLOOKUP($A9, GOOGLEFINANCE(K$1, ""price"", $A$2, TODAY()), 2, FALSE), """")"),44.57)</f>
        <v>44.57</v>
      </c>
      <c r="L9" s="18">
        <f>IFERROR(__xludf.DUMMYFUNCTION("IFERROR(VLOOKUP($A9, GOOGLEFINANCE(L$1, ""price"", $A$2, TODAY()), 2, FALSE), """")"),38.81)</f>
        <v>38.81</v>
      </c>
      <c r="M9" s="196">
        <f>IFERROR(__xludf.DUMMYFUNCTION("IFERROR(VLOOKUP($A9, GOOGLEFINANCE(M$1, ""price"", $A$2, TODAY()), 2, FALSE), """")"),41.35)</f>
        <v>41.35</v>
      </c>
      <c r="O9" s="18">
        <v>0.191913988500781</v>
      </c>
      <c r="P9" s="18">
        <v>0.1925953006081957</v>
      </c>
      <c r="Q9" s="18">
        <v>0.08498122237362492</v>
      </c>
      <c r="R9" s="18">
        <v>0.17202299843796737</v>
      </c>
      <c r="S9" s="18">
        <v>0.24434178603476353</v>
      </c>
      <c r="T9" s="18">
        <v>0.13064575093888134</v>
      </c>
      <c r="U9" s="18">
        <v>0.22769118282428796</v>
      </c>
      <c r="V9" s="18">
        <v>0.07481139286782545</v>
      </c>
      <c r="W9" s="18">
        <v>0.07406361128651667</v>
      </c>
      <c r="X9" s="18">
        <v>0.06449200704576424</v>
      </c>
      <c r="Y9" s="196">
        <v>0.06871281863804049</v>
      </c>
      <c r="AA9" s="18">
        <v>-0.016946294495999492</v>
      </c>
      <c r="AB9" s="18">
        <v>0.04191492904769811</v>
      </c>
      <c r="AC9" s="18">
        <v>-0.0019405565584227347</v>
      </c>
      <c r="AD9" s="18">
        <v>0.007325541109471034</v>
      </c>
      <c r="AE9" s="18">
        <v>0.012822889164573636</v>
      </c>
      <c r="AF9" s="18">
        <v>-0.018965643210342886</v>
      </c>
      <c r="AG9" s="18">
        <v>-0.005672391058583637</v>
      </c>
      <c r="AH9" s="18">
        <v>-0.007363344655339166</v>
      </c>
      <c r="AI9" s="18">
        <v>0.0045136578050952725</v>
      </c>
      <c r="AJ9" s="18">
        <v>-0.016683708189633495</v>
      </c>
      <c r="AK9" s="18">
        <v>-0.01579374704703529</v>
      </c>
    </row>
    <row r="10">
      <c r="A10" s="230">
        <f>IFERROR(__xludf.DUMMYFUNCTION("""COMPUTED_VALUE"""),45693.66666666667)</f>
        <v>45693.66667</v>
      </c>
      <c r="B10" s="18">
        <f>IFERROR(__xludf.DUMMYFUNCTION("""COMPUTED_VALUE"""),604.22)</f>
        <v>604.22</v>
      </c>
      <c r="C10" s="18">
        <f>IFERROR(__xludf.DUMMYFUNCTION("IFERROR(VLOOKUP($A10, GOOGLEFINANCE(C$1, ""price"", $A$2, TODAY()), 2, FALSE), """")"),117.1)</f>
        <v>117.1</v>
      </c>
      <c r="D10" s="18">
        <f>IFERROR(__xludf.DUMMYFUNCTION("IFERROR(VLOOKUP($A10, GOOGLEFINANCE(D$1, ""price"", $A$2, TODAY()), 2, FALSE), """")"),114.59)</f>
        <v>114.59</v>
      </c>
      <c r="E10" s="18">
        <f>IFERROR(__xludf.DUMMYFUNCTION("IFERROR(VLOOKUP($A10, GOOGLEFINANCE(E$1, ""price"", $A$2, TODAY()), 2, FALSE), """")"),51.68)</f>
        <v>51.68</v>
      </c>
      <c r="F10" s="18">
        <f>IFERROR(__xludf.DUMMYFUNCTION("IFERROR(VLOOKUP($A10, GOOGLEFINANCE(F$1, ""price"", $A$2, TODAY()), 2, FALSE), """")"),102.52)</f>
        <v>102.52</v>
      </c>
      <c r="G10" s="18">
        <f>IFERROR(__xludf.DUMMYFUNCTION("IFERROR(VLOOKUP($A10, GOOGLEFINANCE(G$1, ""price"", $A$2, TODAY()), 2, FALSE), """")"),148.45)</f>
        <v>148.45</v>
      </c>
      <c r="H10" s="18">
        <f>IFERROR(__xludf.DUMMYFUNCTION("IFERROR(VLOOKUP($A10, GOOGLEFINANCE(H$1, ""price"", $A$2, TODAY()), 2, FALSE), """")"),79.11)</f>
        <v>79.11</v>
      </c>
      <c r="I10" s="18">
        <f>IFERROR(__xludf.DUMMYFUNCTION("IFERROR(VLOOKUP($A10, GOOGLEFINANCE(I$1, ""price"", $A$2, TODAY()), 2, FALSE), """")"),137.12)</f>
        <v>137.12</v>
      </c>
      <c r="J10" s="18">
        <f>IFERROR(__xludf.DUMMYFUNCTION("IFERROR(VLOOKUP($A10, GOOGLEFINANCE(J$1, ""price"", $A$2, TODAY()), 2, FALSE), """")"),45.12)</f>
        <v>45.12</v>
      </c>
      <c r="K10" s="18">
        <f>IFERROR(__xludf.DUMMYFUNCTION("IFERROR(VLOOKUP($A10, GOOGLEFINANCE(K$1, ""price"", $A$2, TODAY()), 2, FALSE), """")"),44.54)</f>
        <v>44.54</v>
      </c>
      <c r="L10" s="18">
        <f>IFERROR(__xludf.DUMMYFUNCTION("IFERROR(VLOOKUP($A10, GOOGLEFINANCE(L$1, ""price"", $A$2, TODAY()), 2, FALSE), """")"),39.2)</f>
        <v>39.2</v>
      </c>
      <c r="M10" s="196">
        <f>IFERROR(__xludf.DUMMYFUNCTION("IFERROR(VLOOKUP($A10, GOOGLEFINANCE(M$1, ""price"", $A$2, TODAY()), 2, FALSE), """")"),42.0)</f>
        <v>42</v>
      </c>
      <c r="O10" s="18">
        <v>0.19380358147694546</v>
      </c>
      <c r="P10" s="18">
        <v>0.18964946542650027</v>
      </c>
      <c r="Q10" s="18">
        <v>0.08553175995498329</v>
      </c>
      <c r="R10" s="18">
        <v>0.16967329780543508</v>
      </c>
      <c r="S10" s="18">
        <v>0.24568865644963753</v>
      </c>
      <c r="T10" s="18">
        <v>0.13092913177319518</v>
      </c>
      <c r="U10" s="18">
        <v>0.226937208301612</v>
      </c>
      <c r="V10" s="18">
        <v>0.07467478732911853</v>
      </c>
      <c r="W10" s="18">
        <v>0.07371487206646585</v>
      </c>
      <c r="X10" s="18">
        <v>0.06487703154480157</v>
      </c>
      <c r="Y10" s="196">
        <v>0.0695111052265731</v>
      </c>
      <c r="AA10" s="18">
        <v>-0.008283191248156907</v>
      </c>
      <c r="AB10" s="18">
        <v>0.02285600661243592</v>
      </c>
      <c r="AC10" s="18">
        <v>0.0047983389104111485</v>
      </c>
      <c r="AD10" s="18">
        <v>-0.010687273251958729</v>
      </c>
      <c r="AE10" s="18">
        <v>0.016586941129154598</v>
      </c>
      <c r="AF10" s="18">
        <v>-0.019274972729049766</v>
      </c>
      <c r="AG10" s="18">
        <v>-0.005990315783226063</v>
      </c>
      <c r="AH10" s="18">
        <v>0.012034584072258658</v>
      </c>
      <c r="AI10" s="18">
        <v>0.0037599911988903667</v>
      </c>
      <c r="AJ10" s="18">
        <v>-0.012258244943944563</v>
      </c>
      <c r="AK10" s="18">
        <v>9.599152626527108E-4</v>
      </c>
    </row>
    <row r="11">
      <c r="A11" s="230">
        <f>IFERROR(__xludf.DUMMYFUNCTION("""COMPUTED_VALUE"""),45694.66666666667)</f>
        <v>45694.66667</v>
      </c>
      <c r="B11" s="18">
        <f>IFERROR(__xludf.DUMMYFUNCTION("""COMPUTED_VALUE"""),606.32)</f>
        <v>606.32</v>
      </c>
      <c r="C11" s="18">
        <f>IFERROR(__xludf.DUMMYFUNCTION("IFERROR(VLOOKUP($A11, GOOGLEFINANCE(C$1, ""price"", $A$2, TODAY()), 2, FALSE), """")"),117.42)</f>
        <v>117.42</v>
      </c>
      <c r="D11" s="18">
        <f>IFERROR(__xludf.DUMMYFUNCTION("IFERROR(VLOOKUP($A11, GOOGLEFINANCE(D$1, ""price"", $A$2, TODAY()), 2, FALSE), """")"),115.04)</f>
        <v>115.04</v>
      </c>
      <c r="E11" s="18">
        <f>IFERROR(__xludf.DUMMYFUNCTION("IFERROR(VLOOKUP($A11, GOOGLEFINANCE(E$1, ""price"", $A$2, TODAY()), 2, FALSE), """")"),52.11)</f>
        <v>52.11</v>
      </c>
      <c r="F11" s="18">
        <f>IFERROR(__xludf.DUMMYFUNCTION("IFERROR(VLOOKUP($A11, GOOGLEFINANCE(F$1, ""price"", $A$2, TODAY()), 2, FALSE), """")"),102.96)</f>
        <v>102.96</v>
      </c>
      <c r="G11" s="18">
        <f>IFERROR(__xludf.DUMMYFUNCTION("IFERROR(VLOOKUP($A11, GOOGLEFINANCE(G$1, ""price"", $A$2, TODAY()), 2, FALSE), """")"),147.12)</f>
        <v>147.12</v>
      </c>
      <c r="H11" s="18">
        <f>IFERROR(__xludf.DUMMYFUNCTION("IFERROR(VLOOKUP($A11, GOOGLEFINANCE(H$1, ""price"", $A$2, TODAY()), 2, FALSE), """")"),79.47)</f>
        <v>79.47</v>
      </c>
      <c r="I11" s="18">
        <f>IFERROR(__xludf.DUMMYFUNCTION("IFERROR(VLOOKUP($A11, GOOGLEFINANCE(I$1, ""price"", $A$2, TODAY()), 2, FALSE), """")"),137.74)</f>
        <v>137.74</v>
      </c>
      <c r="J11" s="18">
        <f>IFERROR(__xludf.DUMMYFUNCTION("IFERROR(VLOOKUP($A11, GOOGLEFINANCE(J$1, ""price"", $A$2, TODAY()), 2, FALSE), """")"),44.29)</f>
        <v>44.29</v>
      </c>
      <c r="K11" s="18">
        <f>IFERROR(__xludf.DUMMYFUNCTION("IFERROR(VLOOKUP($A11, GOOGLEFINANCE(K$1, ""price"", $A$2, TODAY()), 2, FALSE), """")"),44.69)</f>
        <v>44.69</v>
      </c>
      <c r="L11" s="18">
        <f>IFERROR(__xludf.DUMMYFUNCTION("IFERROR(VLOOKUP($A11, GOOGLEFINANCE(L$1, ""price"", $A$2, TODAY()), 2, FALSE), """")"),39.15)</f>
        <v>39.15</v>
      </c>
      <c r="M11" s="196">
        <f>IFERROR(__xludf.DUMMYFUNCTION("IFERROR(VLOOKUP($A11, GOOGLEFINANCE(M$1, ""price"", $A$2, TODAY()), 2, FALSE), """")"),42.12)</f>
        <v>42.12</v>
      </c>
      <c r="O11" s="18">
        <v>0.19366011347143422</v>
      </c>
      <c r="P11" s="18">
        <v>0.1897347935083784</v>
      </c>
      <c r="Q11" s="18">
        <v>0.08594471566169679</v>
      </c>
      <c r="R11" s="18">
        <v>0.16981132075471694</v>
      </c>
      <c r="S11" s="18">
        <v>0.24264414830452566</v>
      </c>
      <c r="T11" s="18">
        <v>0.13106940229581737</v>
      </c>
      <c r="U11" s="18">
        <v>0.22717376962659983</v>
      </c>
      <c r="V11" s="18">
        <v>0.07304723578308484</v>
      </c>
      <c r="W11" s="18">
        <v>0.07370695342393455</v>
      </c>
      <c r="X11" s="18">
        <v>0.06456986409816598</v>
      </c>
      <c r="Y11" s="196">
        <v>0.06946826758147512</v>
      </c>
      <c r="AA11" s="18">
        <v>-0.012540717620525332</v>
      </c>
      <c r="AB11" s="18">
        <v>0.018819864780832862</v>
      </c>
      <c r="AC11" s="18">
        <v>0.013599061516564426</v>
      </c>
      <c r="AD11" s="18">
        <v>-0.010804847580265897</v>
      </c>
      <c r="AE11" s="18">
        <v>0.010638817854487614</v>
      </c>
      <c r="AF11" s="18">
        <v>-0.018460492976802745</v>
      </c>
      <c r="AG11" s="18">
        <v>0.004530151239587665</v>
      </c>
      <c r="AH11" s="18">
        <v>-0.00715356500177633</v>
      </c>
      <c r="AI11" s="18">
        <v>-0.0030758493528036945</v>
      </c>
      <c r="AJ11" s="18">
        <v>-0.008807068565590437</v>
      </c>
      <c r="AK11" s="18">
        <v>0.0030046600154589598</v>
      </c>
    </row>
    <row r="12">
      <c r="A12" s="230">
        <f>IFERROR(__xludf.DUMMYFUNCTION("""COMPUTED_VALUE"""),45695.66666666667)</f>
        <v>45695.66667</v>
      </c>
      <c r="B12" s="18">
        <f>IFERROR(__xludf.DUMMYFUNCTION("""COMPUTED_VALUE"""),600.77)</f>
        <v>600.77</v>
      </c>
      <c r="C12" s="18">
        <f>IFERROR(__xludf.DUMMYFUNCTION("IFERROR(VLOOKUP($A12, GOOGLEFINANCE(C$1, ""price"", $A$2, TODAY()), 2, FALSE), """")"),116.41)</f>
        <v>116.41</v>
      </c>
      <c r="D12" s="18">
        <f>IFERROR(__xludf.DUMMYFUNCTION("IFERROR(VLOOKUP($A12, GOOGLEFINANCE(D$1, ""price"", $A$2, TODAY()), 2, FALSE), """")"),112.79)</f>
        <v>112.79</v>
      </c>
      <c r="E12" s="18">
        <f>IFERROR(__xludf.DUMMYFUNCTION("IFERROR(VLOOKUP($A12, GOOGLEFINANCE(E$1, ""price"", $A$2, TODAY()), 2, FALSE), """")"),51.82)</f>
        <v>51.82</v>
      </c>
      <c r="F12" s="18">
        <f>IFERROR(__xludf.DUMMYFUNCTION("IFERROR(VLOOKUP($A12, GOOGLEFINANCE(F$1, ""price"", $A$2, TODAY()), 2, FALSE), """")"),102.74)</f>
        <v>102.74</v>
      </c>
      <c r="G12" s="18">
        <f>IFERROR(__xludf.DUMMYFUNCTION("IFERROR(VLOOKUP($A12, GOOGLEFINANCE(G$1, ""price"", $A$2, TODAY()), 2, FALSE), """")"),146.43)</f>
        <v>146.43</v>
      </c>
      <c r="H12" s="18">
        <f>IFERROR(__xludf.DUMMYFUNCTION("IFERROR(VLOOKUP($A12, GOOGLEFINANCE(H$1, ""price"", $A$2, TODAY()), 2, FALSE), """")"),79.35)</f>
        <v>79.35</v>
      </c>
      <c r="I12" s="18">
        <f>IFERROR(__xludf.DUMMYFUNCTION("IFERROR(VLOOKUP($A12, GOOGLEFINANCE(I$1, ""price"", $A$2, TODAY()), 2, FALSE), """")"),137.33)</f>
        <v>137.33</v>
      </c>
      <c r="J12" s="18">
        <f>IFERROR(__xludf.DUMMYFUNCTION("IFERROR(VLOOKUP($A12, GOOGLEFINANCE(J$1, ""price"", $A$2, TODAY()), 2, FALSE), """")"),44.28)</f>
        <v>44.28</v>
      </c>
      <c r="K12" s="18">
        <f>IFERROR(__xludf.DUMMYFUNCTION("IFERROR(VLOOKUP($A12, GOOGLEFINANCE(K$1, ""price"", $A$2, TODAY()), 2, FALSE), """")"),44.15)</f>
        <v>44.15</v>
      </c>
      <c r="L12" s="18">
        <f>IFERROR(__xludf.DUMMYFUNCTION("IFERROR(VLOOKUP($A12, GOOGLEFINANCE(L$1, ""price"", $A$2, TODAY()), 2, FALSE), """")"),39.07)</f>
        <v>39.07</v>
      </c>
      <c r="M12" s="196">
        <f>IFERROR(__xludf.DUMMYFUNCTION("IFERROR(VLOOKUP($A12, GOOGLEFINANCE(M$1, ""price"", $A$2, TODAY()), 2, FALSE), """")"),41.97)</f>
        <v>41.97</v>
      </c>
      <c r="O12" s="18">
        <v>0.19376799773623848</v>
      </c>
      <c r="P12" s="18">
        <v>0.1877423972568537</v>
      </c>
      <c r="Q12" s="18">
        <v>0.08625597150323752</v>
      </c>
      <c r="R12" s="18">
        <v>0.17101386553922465</v>
      </c>
      <c r="S12" s="18">
        <v>0.24373720392163392</v>
      </c>
      <c r="T12" s="18">
        <v>0.1320804966959069</v>
      </c>
      <c r="U12" s="18">
        <v>0.2285899761972136</v>
      </c>
      <c r="V12" s="18">
        <v>0.07370541138871782</v>
      </c>
      <c r="W12" s="18">
        <v>0.0734890224212261</v>
      </c>
      <c r="X12" s="18">
        <v>0.06503320738385739</v>
      </c>
      <c r="Y12" s="196">
        <v>0.06986034588944189</v>
      </c>
      <c r="AA12" s="18">
        <v>-0.015415049422580096</v>
      </c>
      <c r="AB12" s="18">
        <v>0.008515767466993118</v>
      </c>
      <c r="AC12" s="18">
        <v>0.015256097017836368</v>
      </c>
      <c r="AD12" s="18">
        <v>-0.009902632045719506</v>
      </c>
      <c r="AE12" s="18">
        <v>0.026288489164504103</v>
      </c>
      <c r="AF12" s="18">
        <v>-9.988979593791303E-4</v>
      </c>
      <c r="AG12" s="18">
        <v>0.013241064975944239</v>
      </c>
      <c r="AH12" s="18">
        <v>-0.0022604501842526936</v>
      </c>
      <c r="AI12" s="18">
        <v>-0.0027541293073324313</v>
      </c>
      <c r="AJ12" s="18">
        <v>0.0025473209086688264</v>
      </c>
      <c r="AK12" s="18">
        <v>0.012692650708338471</v>
      </c>
    </row>
    <row r="13">
      <c r="A13" s="230">
        <f>IFERROR(__xludf.DUMMYFUNCTION("""COMPUTED_VALUE"""),45698.66666666667)</f>
        <v>45698.66667</v>
      </c>
      <c r="B13" s="18">
        <f>IFERROR(__xludf.DUMMYFUNCTION("""COMPUTED_VALUE"""),604.85)</f>
        <v>604.85</v>
      </c>
      <c r="C13" s="18">
        <f>IFERROR(__xludf.DUMMYFUNCTION("IFERROR(VLOOKUP($A13, GOOGLEFINANCE(C$1, ""price"", $A$2, TODAY()), 2, FALSE), """")"),118.11)</f>
        <v>118.11</v>
      </c>
      <c r="D13" s="18">
        <f>IFERROR(__xludf.DUMMYFUNCTION("IFERROR(VLOOKUP($A13, GOOGLEFINANCE(D$1, ""price"", $A$2, TODAY()), 2, FALSE), """")"),113.18)</f>
        <v>113.18</v>
      </c>
      <c r="E13" s="18">
        <f>IFERROR(__xludf.DUMMYFUNCTION("IFERROR(VLOOKUP($A13, GOOGLEFINANCE(E$1, ""price"", $A$2, TODAY()), 2, FALSE), """")"),51.41)</f>
        <v>51.41</v>
      </c>
      <c r="F13" s="18">
        <f>IFERROR(__xludf.DUMMYFUNCTION("IFERROR(VLOOKUP($A13, GOOGLEFINANCE(F$1, ""price"", $A$2, TODAY()), 2, FALSE), """")"),103.2)</f>
        <v>103.2</v>
      </c>
      <c r="G13" s="18">
        <f>IFERROR(__xludf.DUMMYFUNCTION("IFERROR(VLOOKUP($A13, GOOGLEFINANCE(G$1, ""price"", $A$2, TODAY()), 2, FALSE), """")"),146.3)</f>
        <v>146.3</v>
      </c>
      <c r="H13" s="18">
        <f>IFERROR(__xludf.DUMMYFUNCTION("IFERROR(VLOOKUP($A13, GOOGLEFINANCE(H$1, ""price"", $A$2, TODAY()), 2, FALSE), """")"),79.84)</f>
        <v>79.84</v>
      </c>
      <c r="I13" s="18">
        <f>IFERROR(__xludf.DUMMYFUNCTION("IFERROR(VLOOKUP($A13, GOOGLEFINANCE(I$1, ""price"", $A$2, TODAY()), 2, FALSE), """")"),138.56)</f>
        <v>138.56</v>
      </c>
      <c r="J13" s="18">
        <f>IFERROR(__xludf.DUMMYFUNCTION("IFERROR(VLOOKUP($A13, GOOGLEFINANCE(J$1, ""price"", $A$2, TODAY()), 2, FALSE), """")"),45.26)</f>
        <v>45.26</v>
      </c>
      <c r="K13" s="18">
        <f>IFERROR(__xludf.DUMMYFUNCTION("IFERROR(VLOOKUP($A13, GOOGLEFINANCE(K$1, ""price"", $A$2, TODAY()), 2, FALSE), """")"),44.37)</f>
        <v>44.37</v>
      </c>
      <c r="L13" s="18">
        <f>IFERROR(__xludf.DUMMYFUNCTION("IFERROR(VLOOKUP($A13, GOOGLEFINANCE(L$1, ""price"", $A$2, TODAY()), 2, FALSE), """")"),39.49)</f>
        <v>39.49</v>
      </c>
      <c r="M13" s="196">
        <f>IFERROR(__xludf.DUMMYFUNCTION("IFERROR(VLOOKUP($A13, GOOGLEFINANCE(M$1, ""price"", $A$2, TODAY()), 2, FALSE), """")"),42.03)</f>
        <v>42.03</v>
      </c>
      <c r="O13" s="18">
        <v>0.19527155493097462</v>
      </c>
      <c r="P13" s="18">
        <v>0.18712077374555675</v>
      </c>
      <c r="Q13" s="18">
        <v>0.0849962800694387</v>
      </c>
      <c r="R13" s="18">
        <v>0.17062081507811855</v>
      </c>
      <c r="S13" s="18">
        <v>0.24187815160783666</v>
      </c>
      <c r="T13" s="18">
        <v>0.13199966933950566</v>
      </c>
      <c r="U13" s="18">
        <v>0.22908159047697776</v>
      </c>
      <c r="V13" s="18">
        <v>0.07482846986856245</v>
      </c>
      <c r="W13" s="18">
        <v>0.07335703066876084</v>
      </c>
      <c r="X13" s="18">
        <v>0.06528891460692733</v>
      </c>
      <c r="Y13" s="196">
        <v>0.06948830288501281</v>
      </c>
      <c r="AA13" s="18">
        <v>-0.013820588662523448</v>
      </c>
      <c r="AB13" s="18">
        <v>0.01088861151754128</v>
      </c>
      <c r="AC13" s="18">
        <v>-0.0037497546547619054</v>
      </c>
      <c r="AD13" s="18">
        <v>-0.004646802021382235</v>
      </c>
      <c r="AE13" s="18">
        <v>0.023429773918322905</v>
      </c>
      <c r="AF13" s="18">
        <v>-0.002268506743951737</v>
      </c>
      <c r="AG13" s="18">
        <v>0.010467443993126713</v>
      </c>
      <c r="AH13" s="18">
        <v>0.002340877106840056</v>
      </c>
      <c r="AI13" s="18">
        <v>-0.014129875084822774</v>
      </c>
      <c r="AJ13" s="18">
        <v>8.813609694380276E-5</v>
      </c>
      <c r="AK13" s="18">
        <v>0.006666721894254435</v>
      </c>
    </row>
    <row r="14">
      <c r="A14" s="230">
        <f>IFERROR(__xludf.DUMMYFUNCTION("""COMPUTED_VALUE"""),45699.66666666667)</f>
        <v>45699.66667</v>
      </c>
      <c r="B14" s="18">
        <f>IFERROR(__xludf.DUMMYFUNCTION("""COMPUTED_VALUE"""),605.31)</f>
        <v>605.31</v>
      </c>
      <c r="C14" s="18">
        <f>IFERROR(__xludf.DUMMYFUNCTION("IFERROR(VLOOKUP($A14, GOOGLEFINANCE(C$1, ""price"", $A$2, TODAY()), 2, FALSE), """")"),118.17)</f>
        <v>118.17</v>
      </c>
      <c r="D14" s="18">
        <f>IFERROR(__xludf.DUMMYFUNCTION("IFERROR(VLOOKUP($A14, GOOGLEFINANCE(D$1, ""price"", $A$2, TODAY()), 2, FALSE), """")"),111.89)</f>
        <v>111.89</v>
      </c>
      <c r="E14" s="18">
        <f>IFERROR(__xludf.DUMMYFUNCTION("IFERROR(VLOOKUP($A14, GOOGLEFINANCE(E$1, ""price"", $A$2, TODAY()), 2, FALSE), """")"),51.54)</f>
        <v>51.54</v>
      </c>
      <c r="F14" s="18">
        <f>IFERROR(__xludf.DUMMYFUNCTION("IFERROR(VLOOKUP($A14, GOOGLEFINANCE(F$1, ""price"", $A$2, TODAY()), 2, FALSE), """")"),103.37)</f>
        <v>103.37</v>
      </c>
      <c r="G14" s="18">
        <f>IFERROR(__xludf.DUMMYFUNCTION("IFERROR(VLOOKUP($A14, GOOGLEFINANCE(G$1, ""price"", $A$2, TODAY()), 2, FALSE), """")"),146.03)</f>
        <v>146.03</v>
      </c>
      <c r="H14" s="18">
        <f>IFERROR(__xludf.DUMMYFUNCTION("IFERROR(VLOOKUP($A14, GOOGLEFINANCE(H$1, ""price"", $A$2, TODAY()), 2, FALSE), """")"),80.61)</f>
        <v>80.61</v>
      </c>
      <c r="I14" s="18">
        <f>IFERROR(__xludf.DUMMYFUNCTION("IFERROR(VLOOKUP($A14, GOOGLEFINANCE(I$1, ""price"", $A$2, TODAY()), 2, FALSE), """")"),138.61)</f>
        <v>138.61</v>
      </c>
      <c r="J14" s="18">
        <f>IFERROR(__xludf.DUMMYFUNCTION("IFERROR(VLOOKUP($A14, GOOGLEFINANCE(J$1, ""price"", $A$2, TODAY()), 2, FALSE), """")"),45.62)</f>
        <v>45.62</v>
      </c>
      <c r="K14" s="18">
        <f>IFERROR(__xludf.DUMMYFUNCTION("IFERROR(VLOOKUP($A14, GOOGLEFINANCE(K$1, ""price"", $A$2, TODAY()), 2, FALSE), """")"),44.63)</f>
        <v>44.63</v>
      </c>
      <c r="L14" s="18">
        <f>IFERROR(__xludf.DUMMYFUNCTION("IFERROR(VLOOKUP($A14, GOOGLEFINANCE(L$1, ""price"", $A$2, TODAY()), 2, FALSE), """")"),39.7)</f>
        <v>39.7</v>
      </c>
      <c r="M14" s="196">
        <f>IFERROR(__xludf.DUMMYFUNCTION("IFERROR(VLOOKUP($A14, GOOGLEFINANCE(M$1, ""price"", $A$2, TODAY()), 2, FALSE), """")"),42.26)</f>
        <v>42.26</v>
      </c>
      <c r="O14" s="18">
        <v>0.1952222827972444</v>
      </c>
      <c r="P14" s="18">
        <v>0.18484743354644728</v>
      </c>
      <c r="Q14" s="18">
        <v>0.08514645388313427</v>
      </c>
      <c r="R14" s="18">
        <v>0.17077200112339133</v>
      </c>
      <c r="S14" s="18">
        <v>0.24124828600221376</v>
      </c>
      <c r="T14" s="18">
        <v>0.13317143281954702</v>
      </c>
      <c r="U14" s="18">
        <v>0.22899010424410637</v>
      </c>
      <c r="V14" s="18">
        <v>0.07536634121359304</v>
      </c>
      <c r="W14" s="18">
        <v>0.07373081561513936</v>
      </c>
      <c r="X14" s="18">
        <v>0.06558622854405181</v>
      </c>
      <c r="Y14" s="196">
        <v>0.06981546645520477</v>
      </c>
      <c r="AA14" s="18">
        <v>-0.011829269180650748</v>
      </c>
      <c r="AB14" s="18">
        <v>0.0015783013050205685</v>
      </c>
      <c r="AC14" s="18">
        <v>-2.2686748620603936E-5</v>
      </c>
      <c r="AD14" s="18">
        <v>-0.0025606761143487367</v>
      </c>
      <c r="AE14" s="18">
        <v>0.010029453137546884</v>
      </c>
      <c r="AF14" s="18">
        <v>9.168156724088661E-4</v>
      </c>
      <c r="AG14" s="18">
        <v>0.011421089531888029</v>
      </c>
      <c r="AH14" s="18">
        <v>0.004005466638721478</v>
      </c>
      <c r="AI14" s="18">
        <v>0.005156334852921773</v>
      </c>
      <c r="AJ14" s="18">
        <v>0.0017385263270788265</v>
      </c>
      <c r="AK14" s="18">
        <v>0.011870273217986727</v>
      </c>
    </row>
    <row r="15">
      <c r="A15" s="230">
        <f>IFERROR(__xludf.DUMMYFUNCTION("""COMPUTED_VALUE"""),45700.66666666667)</f>
        <v>45700.66667</v>
      </c>
      <c r="B15" s="18">
        <f>IFERROR(__xludf.DUMMYFUNCTION("""COMPUTED_VALUE"""),603.36)</f>
        <v>603.36</v>
      </c>
      <c r="C15" s="18">
        <f>IFERROR(__xludf.DUMMYFUNCTION("IFERROR(VLOOKUP($A15, GOOGLEFINANCE(C$1, ""price"", $A$2, TODAY()), 2, FALSE), """")"),117.91)</f>
        <v>117.91</v>
      </c>
      <c r="D15" s="18">
        <f>IFERROR(__xludf.DUMMYFUNCTION("IFERROR(VLOOKUP($A15, GOOGLEFINANCE(D$1, ""price"", $A$2, TODAY()), 2, FALSE), """")"),111.87)</f>
        <v>111.87</v>
      </c>
      <c r="E15" s="18">
        <f>IFERROR(__xludf.DUMMYFUNCTION("IFERROR(VLOOKUP($A15, GOOGLEFINANCE(E$1, ""price"", $A$2, TODAY()), 2, FALSE), """")"),51.36)</f>
        <v>51.36</v>
      </c>
      <c r="F15" s="18">
        <f>IFERROR(__xludf.DUMMYFUNCTION("IFERROR(VLOOKUP($A15, GOOGLEFINANCE(F$1, ""price"", $A$2, TODAY()), 2, FALSE), """")"),103.48)</f>
        <v>103.48</v>
      </c>
      <c r="G15" s="18">
        <f>IFERROR(__xludf.DUMMYFUNCTION("IFERROR(VLOOKUP($A15, GOOGLEFINANCE(G$1, ""price"", $A$2, TODAY()), 2, FALSE), """")"),145.82)</f>
        <v>145.82</v>
      </c>
      <c r="H15" s="18">
        <f>IFERROR(__xludf.DUMMYFUNCTION("IFERROR(VLOOKUP($A15, GOOGLEFINANCE(H$1, ""price"", $A$2, TODAY()), 2, FALSE), """")"),80.55)</f>
        <v>80.55</v>
      </c>
      <c r="I15" s="18">
        <f>IFERROR(__xludf.DUMMYFUNCTION("IFERROR(VLOOKUP($A15, GOOGLEFINANCE(I$1, ""price"", $A$2, TODAY()), 2, FALSE), """")"),137.75)</f>
        <v>137.75</v>
      </c>
      <c r="J15" s="18">
        <f>IFERROR(__xludf.DUMMYFUNCTION("IFERROR(VLOOKUP($A15, GOOGLEFINANCE(J$1, ""price"", $A$2, TODAY()), 2, FALSE), """")"),44.52)</f>
        <v>44.52</v>
      </c>
      <c r="K15" s="18">
        <f>IFERROR(__xludf.DUMMYFUNCTION("IFERROR(VLOOKUP($A15, GOOGLEFINANCE(K$1, ""price"", $A$2, TODAY()), 2, FALSE), """")"),44.31)</f>
        <v>44.31</v>
      </c>
      <c r="L15" s="18">
        <f>IFERROR(__xludf.DUMMYFUNCTION("IFERROR(VLOOKUP($A15, GOOGLEFINANCE(L$1, ""price"", $A$2, TODAY()), 2, FALSE), """")"),39.63)</f>
        <v>39.63</v>
      </c>
      <c r="M15" s="196">
        <f>IFERROR(__xludf.DUMMYFUNCTION("IFERROR(VLOOKUP($A15, GOOGLEFINANCE(M$1, ""price"", $A$2, TODAY()), 2, FALSE), """")"),41.9)</f>
        <v>41.9</v>
      </c>
      <c r="O15" s="18">
        <v>0.19542230177671704</v>
      </c>
      <c r="P15" s="18">
        <v>0.18541169451073986</v>
      </c>
      <c r="Q15" s="18">
        <v>0.08512330946698488</v>
      </c>
      <c r="R15" s="18">
        <v>0.1715062317687616</v>
      </c>
      <c r="S15" s="18">
        <v>0.24167992574913813</v>
      </c>
      <c r="T15" s="18">
        <v>0.13350238663484487</v>
      </c>
      <c r="U15" s="18">
        <v>0.22830482630601961</v>
      </c>
      <c r="V15" s="18">
        <v>0.0737867939538584</v>
      </c>
      <c r="W15" s="18">
        <v>0.07343874303898171</v>
      </c>
      <c r="X15" s="18">
        <v>0.06568217979315831</v>
      </c>
      <c r="Y15" s="196">
        <v>0.06944444444444443</v>
      </c>
      <c r="AA15" s="18">
        <v>-0.011831127839677213</v>
      </c>
      <c r="AB15" s="18">
        <v>0.009109140396481363</v>
      </c>
      <c r="AC15" s="18">
        <v>0.011044281620125052</v>
      </c>
      <c r="AD15" s="18">
        <v>0.002240055021701437</v>
      </c>
      <c r="AE15" s="18">
        <v>0.002014624906663043</v>
      </c>
      <c r="AF15" s="18">
        <v>0.0031661547972006154</v>
      </c>
      <c r="AG15" s="18">
        <v>0.010827650374787723</v>
      </c>
      <c r="AH15" s="18">
        <v>-0.02998097580107495</v>
      </c>
      <c r="AI15" s="18">
        <v>-7.681681646533045E-4</v>
      </c>
      <c r="AJ15" s="18">
        <v>-9.696261612767154E-4</v>
      </c>
      <c r="AK15" s="18">
        <v>-0.004520901831846058</v>
      </c>
    </row>
    <row r="16">
      <c r="A16" s="230">
        <f>IFERROR(__xludf.DUMMYFUNCTION("""COMPUTED_VALUE"""),45701.66666666667)</f>
        <v>45701.66667</v>
      </c>
      <c r="B16" s="18">
        <f>IFERROR(__xludf.DUMMYFUNCTION("""COMPUTED_VALUE"""),609.73)</f>
        <v>609.73</v>
      </c>
      <c r="C16" s="18">
        <f>IFERROR(__xludf.DUMMYFUNCTION("IFERROR(VLOOKUP($A16, GOOGLEFINANCE(C$1, ""price"", $A$2, TODAY()), 2, FALSE), """")"),119.58)</f>
        <v>119.58</v>
      </c>
      <c r="D16" s="18">
        <f>IFERROR(__xludf.DUMMYFUNCTION("IFERROR(VLOOKUP($A16, GOOGLEFINANCE(D$1, ""price"", $A$2, TODAY()), 2, FALSE), """")"),113.55)</f>
        <v>113.55</v>
      </c>
      <c r="E16" s="18">
        <f>IFERROR(__xludf.DUMMYFUNCTION("IFERROR(VLOOKUP($A16, GOOGLEFINANCE(E$1, ""price"", $A$2, TODAY()), 2, FALSE), """")"),51.7)</f>
        <v>51.7</v>
      </c>
      <c r="F16" s="18">
        <f>IFERROR(__xludf.DUMMYFUNCTION("IFERROR(VLOOKUP($A16, GOOGLEFINANCE(F$1, ""price"", $A$2, TODAY()), 2, FALSE), """")"),104.67)</f>
        <v>104.67</v>
      </c>
      <c r="G16" s="18">
        <f>IFERROR(__xludf.DUMMYFUNCTION("IFERROR(VLOOKUP($A16, GOOGLEFINANCE(G$1, ""price"", $A$2, TODAY()), 2, FALSE), """")"),146.39)</f>
        <v>146.39</v>
      </c>
      <c r="H16" s="18">
        <f>IFERROR(__xludf.DUMMYFUNCTION("IFERROR(VLOOKUP($A16, GOOGLEFINANCE(H$1, ""price"", $A$2, TODAY()), 2, FALSE), """")"),81.42)</f>
        <v>81.42</v>
      </c>
      <c r="I16" s="18">
        <f>IFERROR(__xludf.DUMMYFUNCTION("IFERROR(VLOOKUP($A16, GOOGLEFINANCE(I$1, ""price"", $A$2, TODAY()), 2, FALSE), """")"),137.89)</f>
        <v>137.89</v>
      </c>
      <c r="J16" s="18">
        <f>IFERROR(__xludf.DUMMYFUNCTION("IFERROR(VLOOKUP($A16, GOOGLEFINANCE(J$1, ""price"", $A$2, TODAY()), 2, FALSE), """")"),44.86)</f>
        <v>44.86</v>
      </c>
      <c r="K16" s="18">
        <f>IFERROR(__xludf.DUMMYFUNCTION("IFERROR(VLOOKUP($A16, GOOGLEFINANCE(K$1, ""price"", $A$2, TODAY()), 2, FALSE), """")"),45.08)</f>
        <v>45.08</v>
      </c>
      <c r="L16" s="18">
        <f>IFERROR(__xludf.DUMMYFUNCTION("IFERROR(VLOOKUP($A16, GOOGLEFINANCE(L$1, ""price"", $A$2, TODAY()), 2, FALSE), """")"),39.72)</f>
        <v>39.72</v>
      </c>
      <c r="M16" s="196">
        <f>IFERROR(__xludf.DUMMYFUNCTION("IFERROR(VLOOKUP($A16, GOOGLEFINANCE(M$1, ""price"", $A$2, TODAY()), 2, FALSE), """")"),42.23)</f>
        <v>42.23</v>
      </c>
      <c r="O16" s="18">
        <v>0.19611959391861972</v>
      </c>
      <c r="P16" s="18">
        <v>0.1862299706427435</v>
      </c>
      <c r="Q16" s="18">
        <v>0.0847916290817247</v>
      </c>
      <c r="R16" s="18">
        <v>0.1716661473111049</v>
      </c>
      <c r="S16" s="18">
        <v>0.2400898758466862</v>
      </c>
      <c r="T16" s="18">
        <v>0.13353451527725388</v>
      </c>
      <c r="U16" s="18">
        <v>0.22614927918914926</v>
      </c>
      <c r="V16" s="18">
        <v>0.07357354894789497</v>
      </c>
      <c r="W16" s="18">
        <v>0.07393436439079593</v>
      </c>
      <c r="X16" s="18">
        <v>0.06514358814557263</v>
      </c>
      <c r="Y16" s="196">
        <v>0.06926016433503353</v>
      </c>
      <c r="AA16" s="18">
        <v>0.0018732048325675876</v>
      </c>
      <c r="AB16" s="18">
        <v>0.023139272778457398</v>
      </c>
      <c r="AC16" s="18">
        <v>0.002362363572215198</v>
      </c>
      <c r="AD16" s="18">
        <v>-2.971421294476473E-4</v>
      </c>
      <c r="AE16" s="18">
        <v>-0.016325069210811116</v>
      </c>
      <c r="AF16" s="18">
        <v>-0.025155791002242744</v>
      </c>
      <c r="AG16" s="18">
        <v>0.0061999299669104335</v>
      </c>
      <c r="AH16" s="18">
        <v>-0.029256323822297814</v>
      </c>
      <c r="AI16" s="18">
        <v>0.007179440795052505</v>
      </c>
      <c r="AJ16" s="18">
        <v>-0.026351662380297847</v>
      </c>
      <c r="AK16" s="18">
        <v>-0.016056287209092468</v>
      </c>
    </row>
    <row r="17">
      <c r="A17" s="230">
        <f>IFERROR(__xludf.DUMMYFUNCTION("""COMPUTED_VALUE"""),45702.66666666667)</f>
        <v>45702.66667</v>
      </c>
      <c r="B17" s="18">
        <f>IFERROR(__xludf.DUMMYFUNCTION("""COMPUTED_VALUE"""),609.7)</f>
        <v>609.7</v>
      </c>
      <c r="C17" s="18">
        <f>IFERROR(__xludf.DUMMYFUNCTION("IFERROR(VLOOKUP($A17, GOOGLEFINANCE(C$1, ""price"", $A$2, TODAY()), 2, FALSE), """")"),119.99)</f>
        <v>119.99</v>
      </c>
      <c r="D17" s="18">
        <f>IFERROR(__xludf.DUMMYFUNCTION("IFERROR(VLOOKUP($A17, GOOGLEFINANCE(D$1, ""price"", $A$2, TODAY()), 2, FALSE), """")"),113.5)</f>
        <v>113.5</v>
      </c>
      <c r="E17" s="18">
        <f>IFERROR(__xludf.DUMMYFUNCTION("IFERROR(VLOOKUP($A17, GOOGLEFINANCE(E$1, ""price"", $A$2, TODAY()), 2, FALSE), """")"),51.8)</f>
        <v>51.8</v>
      </c>
      <c r="F17" s="18">
        <f>IFERROR(__xludf.DUMMYFUNCTION("IFERROR(VLOOKUP($A17, GOOGLEFINANCE(F$1, ""price"", $A$2, TODAY()), 2, FALSE), """")"),105.31)</f>
        <v>105.31</v>
      </c>
      <c r="G17" s="18">
        <f>IFERROR(__xludf.DUMMYFUNCTION("IFERROR(VLOOKUP($A17, GOOGLEFINANCE(G$1, ""price"", $A$2, TODAY()), 2, FALSE), """")"),144.8)</f>
        <v>144.8</v>
      </c>
      <c r="H17" s="18">
        <f>IFERROR(__xludf.DUMMYFUNCTION("IFERROR(VLOOKUP($A17, GOOGLEFINANCE(H$1, ""price"", $A$2, TODAY()), 2, FALSE), """")"),80.61)</f>
        <v>80.61</v>
      </c>
      <c r="I17" s="18">
        <f>IFERROR(__xludf.DUMMYFUNCTION("IFERROR(VLOOKUP($A17, GOOGLEFINANCE(I$1, ""price"", $A$2, TODAY()), 2, FALSE), """")"),137.55)</f>
        <v>137.55</v>
      </c>
      <c r="J17" s="18">
        <f>IFERROR(__xludf.DUMMYFUNCTION("IFERROR(VLOOKUP($A17, GOOGLEFINANCE(J$1, ""price"", $A$2, TODAY()), 2, FALSE), """")"),45.04)</f>
        <v>45.04</v>
      </c>
      <c r="K17" s="18">
        <f>IFERROR(__xludf.DUMMYFUNCTION("IFERROR(VLOOKUP($A17, GOOGLEFINANCE(K$1, ""price"", $A$2, TODAY()), 2, FALSE), """")"),44.93)</f>
        <v>44.93</v>
      </c>
      <c r="L17" s="18">
        <f>IFERROR(__xludf.DUMMYFUNCTION("IFERROR(VLOOKUP($A17, GOOGLEFINANCE(L$1, ""price"", $A$2, TODAY()), 2, FALSE), """")"),39.55)</f>
        <v>39.55</v>
      </c>
      <c r="M17" s="196">
        <f>IFERROR(__xludf.DUMMYFUNCTION("IFERROR(VLOOKUP($A17, GOOGLEFINANCE(M$1, ""price"", $A$2, TODAY()), 2, FALSE), """")"),42.06)</f>
        <v>42.06</v>
      </c>
      <c r="O17" s="18">
        <v>0.19680170575692962</v>
      </c>
      <c r="P17" s="18">
        <v>0.1861571264556339</v>
      </c>
      <c r="Q17" s="18">
        <v>0.08495981630309987</v>
      </c>
      <c r="R17" s="18">
        <v>0.17272429063473838</v>
      </c>
      <c r="S17" s="18">
        <v>0.23749384943414795</v>
      </c>
      <c r="T17" s="18">
        <v>0.13221256355584712</v>
      </c>
      <c r="U17" s="18">
        <v>0.22560275545350172</v>
      </c>
      <c r="V17" s="18">
        <v>0.07387239626045596</v>
      </c>
      <c r="W17" s="18">
        <v>0.07369197966212891</v>
      </c>
      <c r="X17" s="18">
        <v>0.06486796785304247</v>
      </c>
      <c r="Y17" s="196">
        <v>0.0689847465966869</v>
      </c>
      <c r="AA17" s="18">
        <v>0.015307072348790252</v>
      </c>
      <c r="AB17" s="18">
        <v>0.021922028592417764</v>
      </c>
      <c r="AC17" s="18">
        <v>-0.0045349834338968</v>
      </c>
      <c r="AD17" s="18">
        <v>-6.522610930815853E-4</v>
      </c>
      <c r="AE17" s="18">
        <v>-0.03919725091066584</v>
      </c>
      <c r="AF17" s="18">
        <v>-0.04211251872877042</v>
      </c>
      <c r="AG17" s="18">
        <v>0.0037415002934202413</v>
      </c>
      <c r="AH17" s="18">
        <v>-0.02996187839254827</v>
      </c>
      <c r="AI17" s="18">
        <v>4.452642423280473E-4</v>
      </c>
      <c r="AJ17" s="18">
        <v>-0.030050098109276502</v>
      </c>
      <c r="AK17" s="18">
        <v>-0.028798196251594077</v>
      </c>
    </row>
    <row r="18">
      <c r="A18" s="230">
        <f>IFERROR(__xludf.DUMMYFUNCTION("""COMPUTED_VALUE"""),45706.66666666667)</f>
        <v>45706.66667</v>
      </c>
      <c r="B18" s="18">
        <f>IFERROR(__xludf.DUMMYFUNCTION("""COMPUTED_VALUE"""),611.49)</f>
        <v>611.49</v>
      </c>
      <c r="C18" s="18">
        <f>IFERROR(__xludf.DUMMYFUNCTION("IFERROR(VLOOKUP($A18, GOOGLEFINANCE(C$1, ""price"", $A$2, TODAY()), 2, FALSE), """")"),121.08)</f>
        <v>121.08</v>
      </c>
      <c r="D18" s="18">
        <f>IFERROR(__xludf.DUMMYFUNCTION("IFERROR(VLOOKUP($A18, GOOGLEFINANCE(D$1, ""price"", $A$2, TODAY()), 2, FALSE), """")"),113.19)</f>
        <v>113.19</v>
      </c>
      <c r="E18" s="18">
        <f>IFERROR(__xludf.DUMMYFUNCTION("IFERROR(VLOOKUP($A18, GOOGLEFINANCE(E$1, ""price"", $A$2, TODAY()), 2, FALSE), """")"),52.17)</f>
        <v>52.17</v>
      </c>
      <c r="F18" s="18">
        <f>IFERROR(__xludf.DUMMYFUNCTION("IFERROR(VLOOKUP($A18, GOOGLEFINANCE(F$1, ""price"", $A$2, TODAY()), 2, FALSE), """")"),104.82)</f>
        <v>104.82</v>
      </c>
      <c r="G18" s="18">
        <f>IFERROR(__xludf.DUMMYFUNCTION("IFERROR(VLOOKUP($A18, GOOGLEFINANCE(G$1, ""price"", $A$2, TODAY()), 2, FALSE), """")"),144.52)</f>
        <v>144.52</v>
      </c>
      <c r="H18" s="18">
        <f>IFERROR(__xludf.DUMMYFUNCTION("IFERROR(VLOOKUP($A18, GOOGLEFINANCE(H$1, ""price"", $A$2, TODAY()), 2, FALSE), """")"),80.9)</f>
        <v>80.9</v>
      </c>
      <c r="I18" s="18">
        <f>IFERROR(__xludf.DUMMYFUNCTION("IFERROR(VLOOKUP($A18, GOOGLEFINANCE(I$1, ""price"", $A$2, TODAY()), 2, FALSE), """")"),138.63)</f>
        <v>138.63</v>
      </c>
      <c r="J18" s="18">
        <f>IFERROR(__xludf.DUMMYFUNCTION("IFERROR(VLOOKUP($A18, GOOGLEFINANCE(J$1, ""price"", $A$2, TODAY()), 2, FALSE), """")"),45.65)</f>
        <v>45.65</v>
      </c>
      <c r="K18" s="18">
        <f>IFERROR(__xludf.DUMMYFUNCTION("IFERROR(VLOOKUP($A18, GOOGLEFINANCE(K$1, ""price"", $A$2, TODAY()), 2, FALSE), """")"),45.5)</f>
        <v>45.5</v>
      </c>
      <c r="L18" s="18">
        <f>IFERROR(__xludf.DUMMYFUNCTION("IFERROR(VLOOKUP($A18, GOOGLEFINANCE(L$1, ""price"", $A$2, TODAY()), 2, FALSE), """")"),39.92)</f>
        <v>39.92</v>
      </c>
      <c r="M18" s="196">
        <f>IFERROR(__xludf.DUMMYFUNCTION("IFERROR(VLOOKUP($A18, GOOGLEFINANCE(M$1, ""price"", $A$2, TODAY()), 2, FALSE), """")"),42.21)</f>
        <v>42.21</v>
      </c>
      <c r="O18" s="18">
        <v>0.1980081440416033</v>
      </c>
      <c r="P18" s="18">
        <v>0.18510523475445223</v>
      </c>
      <c r="Q18" s="18">
        <v>0.08531619486827258</v>
      </c>
      <c r="R18" s="18">
        <v>0.17141735760192317</v>
      </c>
      <c r="S18" s="18">
        <v>0.23634074146756284</v>
      </c>
      <c r="T18" s="18">
        <v>0.13229979231058564</v>
      </c>
      <c r="U18" s="18">
        <v>0.2267085316194868</v>
      </c>
      <c r="V18" s="18">
        <v>0.07465371469688793</v>
      </c>
      <c r="W18" s="18">
        <v>0.0744084122389573</v>
      </c>
      <c r="X18" s="18">
        <v>0.06528316080393792</v>
      </c>
      <c r="Y18" s="196">
        <v>0.06902811166167885</v>
      </c>
      <c r="AA18" s="18">
        <v>0.029794849599880324</v>
      </c>
      <c r="AB18" s="18">
        <v>0.01641965164004522</v>
      </c>
      <c r="AC18" s="18">
        <v>-0.005135485900268799</v>
      </c>
      <c r="AD18" s="18">
        <v>0.001701746301178364</v>
      </c>
      <c r="AE18" s="18">
        <v>-0.05673233790258192</v>
      </c>
      <c r="AF18" s="18">
        <v>-0.05959535188226783</v>
      </c>
      <c r="AG18" s="18">
        <v>-0.0014877124995266167</v>
      </c>
      <c r="AH18" s="18">
        <v>-0.01021366752613373</v>
      </c>
      <c r="AI18" s="18">
        <v>-0.002561360503541832</v>
      </c>
      <c r="AJ18" s="18">
        <v>-0.023808115849721312</v>
      </c>
      <c r="AK18" s="18">
        <v>-0.04317086368472012</v>
      </c>
    </row>
    <row r="19">
      <c r="A19" s="230">
        <f>IFERROR(__xludf.DUMMYFUNCTION("""COMPUTED_VALUE"""),45707.66666666667)</f>
        <v>45707.66667</v>
      </c>
      <c r="B19" s="18">
        <f>IFERROR(__xludf.DUMMYFUNCTION("""COMPUTED_VALUE"""),612.93)</f>
        <v>612.93</v>
      </c>
      <c r="C19" s="18">
        <f>IFERROR(__xludf.DUMMYFUNCTION("IFERROR(VLOOKUP($A19, GOOGLEFINANCE(C$1, ""price"", $A$2, TODAY()), 2, FALSE), """")"),121.09)</f>
        <v>121.09</v>
      </c>
      <c r="D19" s="18">
        <f>IFERROR(__xludf.DUMMYFUNCTION("IFERROR(VLOOKUP($A19, GOOGLEFINANCE(D$1, ""price"", $A$2, TODAY()), 2, FALSE), """")"),113.12)</f>
        <v>113.12</v>
      </c>
      <c r="E19" s="18">
        <f>IFERROR(__xludf.DUMMYFUNCTION("IFERROR(VLOOKUP($A19, GOOGLEFINANCE(E$1, ""price"", $A$2, TODAY()), 2, FALSE), """")"),52.19)</f>
        <v>52.19</v>
      </c>
      <c r="F19" s="18">
        <f>IFERROR(__xludf.DUMMYFUNCTION("IFERROR(VLOOKUP($A19, GOOGLEFINANCE(F$1, ""price"", $A$2, TODAY()), 2, FALSE), """")"),104.94)</f>
        <v>104.94</v>
      </c>
      <c r="G19" s="18">
        <f>IFERROR(__xludf.DUMMYFUNCTION("IFERROR(VLOOKUP($A19, GOOGLEFINANCE(G$1, ""price"", $A$2, TODAY()), 2, FALSE), """")"),146.4)</f>
        <v>146.4</v>
      </c>
      <c r="H19" s="18">
        <f>IFERROR(__xludf.DUMMYFUNCTION("IFERROR(VLOOKUP($A19, GOOGLEFINANCE(H$1, ""price"", $A$2, TODAY()), 2, FALSE), """")"),81.55)</f>
        <v>81.55</v>
      </c>
      <c r="I19" s="18">
        <f>IFERROR(__xludf.DUMMYFUNCTION("IFERROR(VLOOKUP($A19, GOOGLEFINANCE(I$1, ""price"", $A$2, TODAY()), 2, FALSE), """")"),138.77)</f>
        <v>138.77</v>
      </c>
      <c r="J19" s="18">
        <f>IFERROR(__xludf.DUMMYFUNCTION("IFERROR(VLOOKUP($A19, GOOGLEFINANCE(J$1, ""price"", $A$2, TODAY()), 2, FALSE), """")"),46.01)</f>
        <v>46.01</v>
      </c>
      <c r="K19" s="18">
        <f>IFERROR(__xludf.DUMMYFUNCTION("IFERROR(VLOOKUP($A19, GOOGLEFINANCE(K$1, ""price"", $A$2, TODAY()), 2, FALSE), """")"),44.96)</f>
        <v>44.96</v>
      </c>
      <c r="L19" s="18">
        <f>IFERROR(__xludf.DUMMYFUNCTION("IFERROR(VLOOKUP($A19, GOOGLEFINANCE(L$1, ""price"", $A$2, TODAY()), 2, FALSE), """")"),40.13)</f>
        <v>40.13</v>
      </c>
      <c r="M19" s="196">
        <f>IFERROR(__xludf.DUMMYFUNCTION("IFERROR(VLOOKUP($A19, GOOGLEFINANCE(M$1, ""price"", $A$2, TODAY()), 2, FALSE), """")"),42.29)</f>
        <v>42.29</v>
      </c>
      <c r="O19" s="18">
        <v>0.19755926451633957</v>
      </c>
      <c r="P19" s="18">
        <v>0.18455614833667794</v>
      </c>
      <c r="Q19" s="18">
        <v>0.08514838562315435</v>
      </c>
      <c r="R19" s="18">
        <v>0.17121041554500516</v>
      </c>
      <c r="S19" s="18">
        <v>0.23885272380206551</v>
      </c>
      <c r="T19" s="18">
        <v>0.13304945099766696</v>
      </c>
      <c r="U19" s="18">
        <v>0.22640432023232673</v>
      </c>
      <c r="V19" s="18">
        <v>0.07506566818396881</v>
      </c>
      <c r="W19" s="18">
        <v>0.07335258512391302</v>
      </c>
      <c r="X19" s="18">
        <v>0.06547240304765635</v>
      </c>
      <c r="Y19" s="196">
        <v>0.06899645962834255</v>
      </c>
      <c r="AA19" s="18">
        <v>0.016942728359692794</v>
      </c>
      <c r="AB19" s="18">
        <v>0.018149878742586</v>
      </c>
      <c r="AC19" s="18">
        <v>-0.004442061191933466</v>
      </c>
      <c r="AD19" s="18">
        <v>0.0027725392387683012</v>
      </c>
      <c r="AE19" s="18">
        <v>-0.03932148282181014</v>
      </c>
      <c r="AF19" s="18">
        <v>-0.03532657809569628</v>
      </c>
      <c r="AG19" s="18">
        <v>-0.0029153736968331456</v>
      </c>
      <c r="AH19" s="18">
        <v>0.001335929147337156</v>
      </c>
      <c r="AI19" s="18">
        <v>-0.015774182812655302</v>
      </c>
      <c r="AJ19" s="18">
        <v>-0.024411967219207797</v>
      </c>
      <c r="AK19" s="18">
        <v>-0.03841642973664372</v>
      </c>
    </row>
    <row r="20">
      <c r="A20" s="230">
        <f>IFERROR(__xludf.DUMMYFUNCTION("""COMPUTED_VALUE"""),45708.66666666667)</f>
        <v>45708.66667</v>
      </c>
      <c r="B20" s="18">
        <f>IFERROR(__xludf.DUMMYFUNCTION("""COMPUTED_VALUE"""),610.38)</f>
        <v>610.38</v>
      </c>
      <c r="C20" s="18">
        <f>IFERROR(__xludf.DUMMYFUNCTION("IFERROR(VLOOKUP($A20, GOOGLEFINANCE(C$1, ""price"", $A$2, TODAY()), 2, FALSE), """")"),120.71)</f>
        <v>120.71</v>
      </c>
      <c r="D20" s="18">
        <f>IFERROR(__xludf.DUMMYFUNCTION("IFERROR(VLOOKUP($A20, GOOGLEFINANCE(D$1, ""price"", $A$2, TODAY()), 2, FALSE), """")"),112.15)</f>
        <v>112.15</v>
      </c>
      <c r="E20" s="18">
        <f>IFERROR(__xludf.DUMMYFUNCTION("IFERROR(VLOOKUP($A20, GOOGLEFINANCE(E$1, ""price"", $A$2, TODAY()), 2, FALSE), """")"),51.39)</f>
        <v>51.39</v>
      </c>
      <c r="F20" s="18">
        <f>IFERROR(__xludf.DUMMYFUNCTION("IFERROR(VLOOKUP($A20, GOOGLEFINANCE(F$1, ""price"", $A$2, TODAY()), 2, FALSE), """")"),104.45)</f>
        <v>104.45</v>
      </c>
      <c r="G20" s="18">
        <f>IFERROR(__xludf.DUMMYFUNCTION("IFERROR(VLOOKUP($A20, GOOGLEFINANCE(G$1, ""price"", $A$2, TODAY()), 2, FALSE), """")"),147.22)</f>
        <v>147.22</v>
      </c>
      <c r="H20" s="18">
        <f>IFERROR(__xludf.DUMMYFUNCTION("IFERROR(VLOOKUP($A20, GOOGLEFINANCE(H$1, ""price"", $A$2, TODAY()), 2, FALSE), """")"),81.23)</f>
        <v>81.23</v>
      </c>
      <c r="I20" s="18">
        <f>IFERROR(__xludf.DUMMYFUNCTION("IFERROR(VLOOKUP($A20, GOOGLEFINANCE(I$1, ""price"", $A$2, TODAY()), 2, FALSE), """")"),137.86)</f>
        <v>137.86</v>
      </c>
      <c r="J20" s="18">
        <f>IFERROR(__xludf.DUMMYFUNCTION("IFERROR(VLOOKUP($A20, GOOGLEFINANCE(J$1, ""price"", $A$2, TODAY()), 2, FALSE), """")"),46.43)</f>
        <v>46.43</v>
      </c>
      <c r="K20" s="18">
        <f>IFERROR(__xludf.DUMMYFUNCTION("IFERROR(VLOOKUP($A20, GOOGLEFINANCE(K$1, ""price"", $A$2, TODAY()), 2, FALSE), """")"),44.86)</f>
        <v>44.86</v>
      </c>
      <c r="L20" s="18">
        <f>IFERROR(__xludf.DUMMYFUNCTION("IFERROR(VLOOKUP($A20, GOOGLEFINANCE(L$1, ""price"", $A$2, TODAY()), 2, FALSE), """")"),40.13)</f>
        <v>40.13</v>
      </c>
      <c r="M20" s="196">
        <f>IFERROR(__xludf.DUMMYFUNCTION("IFERROR(VLOOKUP($A20, GOOGLEFINANCE(M$1, ""price"", $A$2, TODAY()), 2, FALSE), """")"),42.58)</f>
        <v>42.58</v>
      </c>
      <c r="O20" s="18">
        <v>0.19776204987057242</v>
      </c>
      <c r="P20" s="18">
        <v>0.1837379992791376</v>
      </c>
      <c r="Q20" s="18">
        <v>0.08419345325862578</v>
      </c>
      <c r="R20" s="18">
        <v>0.17112290704151512</v>
      </c>
      <c r="S20" s="18">
        <v>0.24119401028867263</v>
      </c>
      <c r="T20" s="18">
        <v>0.1330810314885809</v>
      </c>
      <c r="U20" s="18">
        <v>0.22585930076345886</v>
      </c>
      <c r="V20" s="18">
        <v>0.07606736786919624</v>
      </c>
      <c r="W20" s="18">
        <v>0.07349519971165504</v>
      </c>
      <c r="X20" s="18">
        <v>0.06574592876568695</v>
      </c>
      <c r="Y20" s="196">
        <v>0.069759821750385</v>
      </c>
      <c r="AA20" s="18">
        <v>0.03953896924329192</v>
      </c>
      <c r="AB20" s="18">
        <v>0.012012017306151757</v>
      </c>
      <c r="AC20" s="18">
        <v>-0.03662468552788967</v>
      </c>
      <c r="AD20" s="18">
        <v>-0.004123577393430611</v>
      </c>
      <c r="AE20" s="18">
        <v>-0.04149873849077634</v>
      </c>
      <c r="AF20" s="18">
        <v>-0.0503834922259514</v>
      </c>
      <c r="AG20" s="18">
        <v>-0.01777310702697099</v>
      </c>
      <c r="AH20" s="18">
        <v>-0.006846383131594358</v>
      </c>
      <c r="AI20" s="18">
        <v>-0.022986444187598765</v>
      </c>
      <c r="AJ20" s="18">
        <v>-0.014232300759478678</v>
      </c>
      <c r="AK20" s="18">
        <v>-0.04753830303237483</v>
      </c>
    </row>
    <row r="21">
      <c r="A21" s="230">
        <f>IFERROR(__xludf.DUMMYFUNCTION("""COMPUTED_VALUE"""),45709.66666666667)</f>
        <v>45709.66667</v>
      </c>
      <c r="B21" s="18">
        <f>IFERROR(__xludf.DUMMYFUNCTION("""COMPUTED_VALUE"""),599.94)</f>
        <v>599.94</v>
      </c>
      <c r="C21" s="18">
        <f>IFERROR(__xludf.DUMMYFUNCTION("IFERROR(VLOOKUP($A21, GOOGLEFINANCE(C$1, ""price"", $A$2, TODAY()), 2, FALSE), """")"),117.44)</f>
        <v>117.44</v>
      </c>
      <c r="D21" s="18">
        <f>IFERROR(__xludf.DUMMYFUNCTION("IFERROR(VLOOKUP($A21, GOOGLEFINANCE(D$1, ""price"", $A$2, TODAY()), 2, FALSE), """")"),109.2)</f>
        <v>109.2</v>
      </c>
      <c r="E21" s="18">
        <f>IFERROR(__xludf.DUMMYFUNCTION("IFERROR(VLOOKUP($A21, GOOGLEFINANCE(E$1, ""price"", $A$2, TODAY()), 2, FALSE), """")"),50.75)</f>
        <v>50.75</v>
      </c>
      <c r="F21" s="18">
        <f>IFERROR(__xludf.DUMMYFUNCTION("IFERROR(VLOOKUP($A21, GOOGLEFINANCE(F$1, ""price"", $A$2, TODAY()), 2, FALSE), """")"),103.02)</f>
        <v>103.02</v>
      </c>
      <c r="G21" s="18">
        <f>IFERROR(__xludf.DUMMYFUNCTION("IFERROR(VLOOKUP($A21, GOOGLEFINANCE(G$1, ""price"", $A$2, TODAY()), 2, FALSE), """")"),146.43)</f>
        <v>146.43</v>
      </c>
      <c r="H21" s="18">
        <f>IFERROR(__xludf.DUMMYFUNCTION("IFERROR(VLOOKUP($A21, GOOGLEFINANCE(H$1, ""price"", $A$2, TODAY()), 2, FALSE), """")"),82.18)</f>
        <v>82.18</v>
      </c>
      <c r="I21" s="18">
        <f>IFERROR(__xludf.DUMMYFUNCTION("IFERROR(VLOOKUP($A21, GOOGLEFINANCE(I$1, ""price"", $A$2, TODAY()), 2, FALSE), """")"),134.84)</f>
        <v>134.84</v>
      </c>
      <c r="J21" s="18">
        <f>IFERROR(__xludf.DUMMYFUNCTION("IFERROR(VLOOKUP($A21, GOOGLEFINANCE(J$1, ""price"", $A$2, TODAY()), 2, FALSE), """")"),45.47)</f>
        <v>45.47</v>
      </c>
      <c r="K21" s="18">
        <f>IFERROR(__xludf.DUMMYFUNCTION("IFERROR(VLOOKUP($A21, GOOGLEFINANCE(K$1, ""price"", $A$2, TODAY()), 2, FALSE), """")"),44.04)</f>
        <v>44.04</v>
      </c>
      <c r="L21" s="18">
        <f>IFERROR(__xludf.DUMMYFUNCTION("IFERROR(VLOOKUP($A21, GOOGLEFINANCE(L$1, ""price"", $A$2, TODAY()), 2, FALSE), """")"),40.14)</f>
        <v>40.14</v>
      </c>
      <c r="M21" s="196">
        <f>IFERROR(__xludf.DUMMYFUNCTION("IFERROR(VLOOKUP($A21, GOOGLEFINANCE(M$1, ""price"", $A$2, TODAY()), 2, FALSE), """")"),42.23)</f>
        <v>42.23</v>
      </c>
      <c r="O21" s="18">
        <v>0.19575290862419573</v>
      </c>
      <c r="P21" s="18">
        <v>0.182018201820182</v>
      </c>
      <c r="Q21" s="18">
        <v>0.08459179251258458</v>
      </c>
      <c r="R21" s="18">
        <v>0.17171717171717168</v>
      </c>
      <c r="S21" s="18">
        <v>0.24407440744074407</v>
      </c>
      <c r="T21" s="18">
        <v>0.136980364703137</v>
      </c>
      <c r="U21" s="18">
        <v>0.22475580891422475</v>
      </c>
      <c r="V21" s="18">
        <v>0.07579091242457578</v>
      </c>
      <c r="W21" s="18">
        <v>0.0734073407340734</v>
      </c>
      <c r="X21" s="18">
        <v>0.0669066906690669</v>
      </c>
      <c r="Y21" s="196">
        <v>0.07039037237057037</v>
      </c>
      <c r="AA21" s="18">
        <v>0.03141317058015969</v>
      </c>
      <c r="AB21" s="18">
        <v>0.001588953116463454</v>
      </c>
      <c r="AC21" s="18">
        <v>-0.036742980545659165</v>
      </c>
      <c r="AD21" s="18">
        <v>3.030303030300274E-4</v>
      </c>
      <c r="AE21" s="18">
        <v>-0.026226204168795397</v>
      </c>
      <c r="AF21" s="18">
        <v>-0.020329885660689384</v>
      </c>
      <c r="AG21" s="18">
        <v>-0.02042539029814394</v>
      </c>
      <c r="AH21" s="18">
        <v>-0.010253970451990502</v>
      </c>
      <c r="AI21" s="18">
        <v>-0.017188514705459124</v>
      </c>
      <c r="AJ21" s="18">
        <v>0.0036510341263866763</v>
      </c>
      <c r="AK21" s="18">
        <v>-0.03071723163046347</v>
      </c>
    </row>
    <row r="22">
      <c r="A22" s="230">
        <f>IFERROR(__xludf.DUMMYFUNCTION("""COMPUTED_VALUE"""),45712.66666666667)</f>
        <v>45712.66667</v>
      </c>
      <c r="B22" s="18">
        <f>IFERROR(__xludf.DUMMYFUNCTION("""COMPUTED_VALUE"""),597.21)</f>
        <v>597.21</v>
      </c>
      <c r="C22" s="18">
        <f>IFERROR(__xludf.DUMMYFUNCTION("IFERROR(VLOOKUP($A22, GOOGLEFINANCE(C$1, ""price"", $A$2, TODAY()), 2, FALSE), """")"),115.76)</f>
        <v>115.76</v>
      </c>
      <c r="D22" s="18">
        <f>IFERROR(__xludf.DUMMYFUNCTION("IFERROR(VLOOKUP($A22, GOOGLEFINANCE(D$1, ""price"", $A$2, TODAY()), 2, FALSE), """")"),108.79)</f>
        <v>108.79</v>
      </c>
      <c r="E22" s="18">
        <f>IFERROR(__xludf.DUMMYFUNCTION("IFERROR(VLOOKUP($A22, GOOGLEFINANCE(E$1, ""price"", $A$2, TODAY()), 2, FALSE), """")"),50.97)</f>
        <v>50.97</v>
      </c>
      <c r="F22" s="18">
        <f>IFERROR(__xludf.DUMMYFUNCTION("IFERROR(VLOOKUP($A22, GOOGLEFINANCE(F$1, ""price"", $A$2, TODAY()), 2, FALSE), """")"),103.22)</f>
        <v>103.22</v>
      </c>
      <c r="G22" s="18">
        <f>IFERROR(__xludf.DUMMYFUNCTION("IFERROR(VLOOKUP($A22, GOOGLEFINANCE(G$1, ""price"", $A$2, TODAY()), 2, FALSE), """")"),147.62)</f>
        <v>147.62</v>
      </c>
      <c r="H22" s="18">
        <f>IFERROR(__xludf.DUMMYFUNCTION("IFERROR(VLOOKUP($A22, GOOGLEFINANCE(H$1, ""price"", $A$2, TODAY()), 2, FALSE), """")"),82.43)</f>
        <v>82.43</v>
      </c>
      <c r="I22" s="18">
        <f>IFERROR(__xludf.DUMMYFUNCTION("IFERROR(VLOOKUP($A22, GOOGLEFINANCE(I$1, ""price"", $A$2, TODAY()), 2, FALSE), """")"),134.23)</f>
        <v>134.23</v>
      </c>
      <c r="J22" s="18">
        <f>IFERROR(__xludf.DUMMYFUNCTION("IFERROR(VLOOKUP($A22, GOOGLEFINANCE(J$1, ""price"", $A$2, TODAY()), 2, FALSE), """")"),45.48)</f>
        <v>45.48</v>
      </c>
      <c r="K22" s="18">
        <f>IFERROR(__xludf.DUMMYFUNCTION("IFERROR(VLOOKUP($A22, GOOGLEFINANCE(K$1, ""price"", $A$2, TODAY()), 2, FALSE), """")"),43.99)</f>
        <v>43.99</v>
      </c>
      <c r="L22" s="18">
        <f>IFERROR(__xludf.DUMMYFUNCTION("IFERROR(VLOOKUP($A22, GOOGLEFINANCE(L$1, ""price"", $A$2, TODAY()), 2, FALSE), """")"),39.94)</f>
        <v>39.94</v>
      </c>
      <c r="M22" s="196">
        <f>IFERROR(__xludf.DUMMYFUNCTION("IFERROR(VLOOKUP($A22, GOOGLEFINANCE(M$1, ""price"", $A$2, TODAY()), 2, FALSE), """")"),42.42)</f>
        <v>42.42</v>
      </c>
      <c r="O22" s="18">
        <v>0.19383466452336698</v>
      </c>
      <c r="P22" s="18">
        <v>0.18216372800187539</v>
      </c>
      <c r="Q22" s="18">
        <v>0.08534686291254331</v>
      </c>
      <c r="R22" s="18">
        <v>0.17283702550191724</v>
      </c>
      <c r="S22" s="18">
        <v>0.24718273304197852</v>
      </c>
      <c r="T22" s="18">
        <v>0.13802515028214532</v>
      </c>
      <c r="U22" s="18">
        <v>0.22476180907888343</v>
      </c>
      <c r="V22" s="18">
        <v>0.0761541166423871</v>
      </c>
      <c r="W22" s="18">
        <v>0.07365918186232648</v>
      </c>
      <c r="X22" s="18">
        <v>0.06687764772860467</v>
      </c>
      <c r="Y22" s="196">
        <v>0.07103029085246396</v>
      </c>
      <c r="AA22" s="18">
        <v>0.03488990404980741</v>
      </c>
      <c r="AB22" s="18">
        <v>0.0033184215082064927</v>
      </c>
      <c r="AC22" s="18">
        <v>-0.03705183296375314</v>
      </c>
      <c r="AD22" s="18">
        <v>-8.212479970863829E-4</v>
      </c>
      <c r="AE22" s="18">
        <v>-0.03531311627279199</v>
      </c>
      <c r="AF22" s="18">
        <v>-0.03526171000708844</v>
      </c>
      <c r="AG22" s="18">
        <v>-0.023668418141381098</v>
      </c>
      <c r="AH22" s="18">
        <v>0.012445654118112381</v>
      </c>
      <c r="AI22" s="18">
        <v>-0.011266484346508898</v>
      </c>
      <c r="AJ22" s="18">
        <v>-0.01585166588032405</v>
      </c>
      <c r="AK22" s="18">
        <v>-0.04721156041031982</v>
      </c>
    </row>
    <row r="23">
      <c r="A23" s="230">
        <f>IFERROR(__xludf.DUMMYFUNCTION("""COMPUTED_VALUE"""),45713.66666666667)</f>
        <v>45713.66667</v>
      </c>
      <c r="B23" s="18">
        <f>IFERROR(__xludf.DUMMYFUNCTION("""COMPUTED_VALUE"""),594.24)</f>
        <v>594.24</v>
      </c>
      <c r="C23" s="18">
        <f>IFERROR(__xludf.DUMMYFUNCTION("IFERROR(VLOOKUP($A23, GOOGLEFINANCE(C$1, ""price"", $A$2, TODAY()), 2, FALSE), """")"),114.26)</f>
        <v>114.26</v>
      </c>
      <c r="D23" s="18">
        <f>IFERROR(__xludf.DUMMYFUNCTION("IFERROR(VLOOKUP($A23, GOOGLEFINANCE(D$1, ""price"", $A$2, TODAY()), 2, FALSE), """")"),108.22)</f>
        <v>108.22</v>
      </c>
      <c r="E23" s="18">
        <f>IFERROR(__xludf.DUMMYFUNCTION("IFERROR(VLOOKUP($A23, GOOGLEFINANCE(E$1, ""price"", $A$2, TODAY()), 2, FALSE), """")"),50.96)</f>
        <v>50.96</v>
      </c>
      <c r="F23" s="18">
        <f>IFERROR(__xludf.DUMMYFUNCTION("IFERROR(VLOOKUP($A23, GOOGLEFINANCE(F$1, ""price"", $A$2, TODAY()), 2, FALSE), """")"),101.69)</f>
        <v>101.69</v>
      </c>
      <c r="G23" s="18">
        <f>IFERROR(__xludf.DUMMYFUNCTION("IFERROR(VLOOKUP($A23, GOOGLEFINANCE(G$1, ""price"", $A$2, TODAY()), 2, FALSE), """")"),148.89)</f>
        <v>148.89</v>
      </c>
      <c r="H23" s="18">
        <f>IFERROR(__xludf.DUMMYFUNCTION("IFERROR(VLOOKUP($A23, GOOGLEFINANCE(H$1, ""price"", $A$2, TODAY()), 2, FALSE), """")"),83.6)</f>
        <v>83.6</v>
      </c>
      <c r="I23" s="18">
        <f>IFERROR(__xludf.DUMMYFUNCTION("IFERROR(VLOOKUP($A23, GOOGLEFINANCE(I$1, ""price"", $A$2, TODAY()), 2, FALSE), """")"),134.92)</f>
        <v>134.92</v>
      </c>
      <c r="J23" s="18">
        <f>IFERROR(__xludf.DUMMYFUNCTION("IFERROR(VLOOKUP($A23, GOOGLEFINANCE(J$1, ""price"", $A$2, TODAY()), 2, FALSE), """")"),44.82)</f>
        <v>44.82</v>
      </c>
      <c r="K23" s="18">
        <f>IFERROR(__xludf.DUMMYFUNCTION("IFERROR(VLOOKUP($A23, GOOGLEFINANCE(K$1, ""price"", $A$2, TODAY()), 2, FALSE), """")"),44.33)</f>
        <v>44.33</v>
      </c>
      <c r="L23" s="18">
        <f>IFERROR(__xludf.DUMMYFUNCTION("IFERROR(VLOOKUP($A23, GOOGLEFINANCE(L$1, ""price"", $A$2, TODAY()), 2, FALSE), """")"),39.74)</f>
        <v>39.74</v>
      </c>
      <c r="M23" s="196">
        <f>IFERROR(__xludf.DUMMYFUNCTION("IFERROR(VLOOKUP($A23, GOOGLEFINANCE(M$1, ""price"", $A$2, TODAY()), 2, FALSE), """")"),42.87)</f>
        <v>42.87</v>
      </c>
      <c r="O23" s="18">
        <v>0.19227921378567583</v>
      </c>
      <c r="P23" s="18">
        <v>0.1821149703823371</v>
      </c>
      <c r="Q23" s="18">
        <v>0.08575659666128163</v>
      </c>
      <c r="R23" s="18">
        <v>0.17112614431879375</v>
      </c>
      <c r="S23" s="18">
        <v>0.25055533117932144</v>
      </c>
      <c r="T23" s="18">
        <v>0.1406838987614432</v>
      </c>
      <c r="U23" s="18">
        <v>0.22704631125471186</v>
      </c>
      <c r="V23" s="18">
        <v>0.07542407108239095</v>
      </c>
      <c r="W23" s="18">
        <v>0.07459948842218632</v>
      </c>
      <c r="X23" s="18">
        <v>0.0668753365643511</v>
      </c>
      <c r="Y23" s="196">
        <v>0.07214256865912762</v>
      </c>
      <c r="AA23" s="18">
        <v>0.01526944864443891</v>
      </c>
      <c r="AB23" s="18">
        <v>0.008978503791346348</v>
      </c>
      <c r="AC23" s="18">
        <v>-0.009023430488242834</v>
      </c>
      <c r="AD23" s="18">
        <v>-0.014615416133565984</v>
      </c>
      <c r="AE23" s="18">
        <v>-0.024661931681602245</v>
      </c>
      <c r="AF23" s="18">
        <v>-0.011511402685430827</v>
      </c>
      <c r="AG23" s="18">
        <v>-0.00604132116268441</v>
      </c>
      <c r="AH23" s="18">
        <v>4.398630624982136E-4</v>
      </c>
      <c r="AI23" s="18">
        <v>0.003110976485370731</v>
      </c>
      <c r="AJ23" s="18">
        <v>-0.011335042272896723</v>
      </c>
      <c r="AK23" s="18">
        <v>-0.03263221393062854</v>
      </c>
    </row>
    <row r="24">
      <c r="A24" s="230">
        <f>IFERROR(__xludf.DUMMYFUNCTION("""COMPUTED_VALUE"""),45714.66666666667)</f>
        <v>45714.66667</v>
      </c>
      <c r="B24" s="18">
        <f>IFERROR(__xludf.DUMMYFUNCTION("""COMPUTED_VALUE"""),594.54)</f>
        <v>594.54</v>
      </c>
      <c r="C24" s="18">
        <f>IFERROR(__xludf.DUMMYFUNCTION("IFERROR(VLOOKUP($A24, GOOGLEFINANCE(C$1, ""price"", $A$2, TODAY()), 2, FALSE), """")"),115.5)</f>
        <v>115.5</v>
      </c>
      <c r="D24" s="18">
        <f>IFERROR(__xludf.DUMMYFUNCTION("IFERROR(VLOOKUP($A24, GOOGLEFINANCE(D$1, ""price"", $A$2, TODAY()), 2, FALSE), """")"),107.77)</f>
        <v>107.77</v>
      </c>
      <c r="E24" s="18">
        <f>IFERROR(__xludf.DUMMYFUNCTION("IFERROR(VLOOKUP($A24, GOOGLEFINANCE(E$1, ""price"", $A$2, TODAY()), 2, FALSE), """")"),50.85)</f>
        <v>50.85</v>
      </c>
      <c r="F24" s="18">
        <f>IFERROR(__xludf.DUMMYFUNCTION("IFERROR(VLOOKUP($A24, GOOGLEFINANCE(F$1, ""price"", $A$2, TODAY()), 2, FALSE), """")"),101.51)</f>
        <v>101.51</v>
      </c>
      <c r="G24" s="18">
        <f>IFERROR(__xludf.DUMMYFUNCTION("IFERROR(VLOOKUP($A24, GOOGLEFINANCE(G$1, ""price"", $A$2, TODAY()), 2, FALSE), """")"),147.82)</f>
        <v>147.82</v>
      </c>
      <c r="H24" s="18">
        <f>IFERROR(__xludf.DUMMYFUNCTION("IFERROR(VLOOKUP($A24, GOOGLEFINANCE(H$1, ""price"", $A$2, TODAY()), 2, FALSE), """")"),82.0)</f>
        <v>82</v>
      </c>
      <c r="I24" s="18">
        <f>IFERROR(__xludf.DUMMYFUNCTION("IFERROR(VLOOKUP($A24, GOOGLEFINANCE(I$1, ""price"", $A$2, TODAY()), 2, FALSE), """")"),135.0)</f>
        <v>135</v>
      </c>
      <c r="J24" s="18">
        <f>IFERROR(__xludf.DUMMYFUNCTION("IFERROR(VLOOKUP($A24, GOOGLEFINANCE(J$1, ""price"", $A$2, TODAY()), 2, FALSE), """")"),44.57)</f>
        <v>44.57</v>
      </c>
      <c r="K24" s="18">
        <f>IFERROR(__xludf.DUMMYFUNCTION("IFERROR(VLOOKUP($A24, GOOGLEFINANCE(K$1, ""price"", $A$2, TODAY()), 2, FALSE), """")"),44.31)</f>
        <v>44.31</v>
      </c>
      <c r="L24" s="18">
        <f>IFERROR(__xludf.DUMMYFUNCTION("IFERROR(VLOOKUP($A24, GOOGLEFINANCE(L$1, ""price"", $A$2, TODAY()), 2, FALSE), """")"),39.9)</f>
        <v>39.9</v>
      </c>
      <c r="M24" s="196">
        <f>IFERROR(__xludf.DUMMYFUNCTION("IFERROR(VLOOKUP($A24, GOOGLEFINANCE(M$1, ""price"", $A$2, TODAY()), 2, FALSE), """")"),42.66)</f>
        <v>42.66</v>
      </c>
      <c r="O24" s="18">
        <v>0.19426783731960845</v>
      </c>
      <c r="P24" s="18">
        <v>0.1812661889864433</v>
      </c>
      <c r="Q24" s="18">
        <v>0.0855283075991523</v>
      </c>
      <c r="R24" s="18">
        <v>0.17073704040098228</v>
      </c>
      <c r="S24" s="18">
        <v>0.2486291923167491</v>
      </c>
      <c r="T24" s="18">
        <v>0.13792175463383458</v>
      </c>
      <c r="U24" s="18">
        <v>0.2270663033605813</v>
      </c>
      <c r="V24" s="18">
        <v>0.07496551956134155</v>
      </c>
      <c r="W24" s="18">
        <v>0.07452820668079524</v>
      </c>
      <c r="X24" s="18">
        <v>0.06711070743768291</v>
      </c>
      <c r="Y24" s="196">
        <v>0.07175295186194369</v>
      </c>
      <c r="AA24" s="18">
        <v>0.022382933726607934</v>
      </c>
      <c r="AB24" s="18">
        <v>-1.9804984925142488E-4</v>
      </c>
      <c r="AC24" s="18">
        <v>-0.006808702872699968</v>
      </c>
      <c r="AD24" s="18">
        <v>-0.018922452190827554</v>
      </c>
      <c r="AE24" s="18">
        <v>-0.03149561148982016</v>
      </c>
      <c r="AF24" s="18">
        <v>-0.024543204065943902</v>
      </c>
      <c r="AG24" s="18">
        <v>-0.010883236179151878</v>
      </c>
      <c r="AH24" s="18">
        <v>0.020055912145526156</v>
      </c>
      <c r="AI24" s="18">
        <v>-0.012848337407895039</v>
      </c>
      <c r="AJ24" s="18">
        <v>0.010055990671538284</v>
      </c>
      <c r="AK24" s="18">
        <v>-0.03647452527349426</v>
      </c>
    </row>
    <row r="25">
      <c r="A25" s="230">
        <f>IFERROR(__xludf.DUMMYFUNCTION("""COMPUTED_VALUE"""),45715.66666666667)</f>
        <v>45715.66667</v>
      </c>
      <c r="B25" s="18">
        <f>IFERROR(__xludf.DUMMYFUNCTION("""COMPUTED_VALUE"""),585.05)</f>
        <v>585.05</v>
      </c>
      <c r="C25" s="18">
        <f>IFERROR(__xludf.DUMMYFUNCTION("IFERROR(VLOOKUP($A25, GOOGLEFINANCE(C$1, ""price"", $A$2, TODAY()), 2, FALSE), """")"),111.3)</f>
        <v>111.3</v>
      </c>
      <c r="D25" s="18">
        <f>IFERROR(__xludf.DUMMYFUNCTION("IFERROR(VLOOKUP($A25, GOOGLEFINANCE(D$1, ""price"", $A$2, TODAY()), 2, FALSE), """")"),106.22)</f>
        <v>106.22</v>
      </c>
      <c r="E25" s="18">
        <f>IFERROR(__xludf.DUMMYFUNCTION("IFERROR(VLOOKUP($A25, GOOGLEFINANCE(E$1, ""price"", $A$2, TODAY()), 2, FALSE), """")"),51.13)</f>
        <v>51.13</v>
      </c>
      <c r="F25" s="18">
        <f>IFERROR(__xludf.DUMMYFUNCTION("IFERROR(VLOOKUP($A25, GOOGLEFINANCE(F$1, ""price"", $A$2, TODAY()), 2, FALSE), """")"),100.53)</f>
        <v>100.53</v>
      </c>
      <c r="G25" s="18">
        <f>IFERROR(__xludf.DUMMYFUNCTION("IFERROR(VLOOKUP($A25, GOOGLEFINANCE(G$1, ""price"", $A$2, TODAY()), 2, FALSE), """")"),147.22)</f>
        <v>147.22</v>
      </c>
      <c r="H25" s="18">
        <f>IFERROR(__xludf.DUMMYFUNCTION("IFERROR(VLOOKUP($A25, GOOGLEFINANCE(H$1, ""price"", $A$2, TODAY()), 2, FALSE), """")"),81.99)</f>
        <v>81.99</v>
      </c>
      <c r="I25" s="18">
        <f>IFERROR(__xludf.DUMMYFUNCTION("IFERROR(VLOOKUP($A25, GOOGLEFINANCE(I$1, ""price"", $A$2, TODAY()), 2, FALSE), """")"),134.53)</f>
        <v>134.53</v>
      </c>
      <c r="J25" s="18">
        <f>IFERROR(__xludf.DUMMYFUNCTION("IFERROR(VLOOKUP($A25, GOOGLEFINANCE(J$1, ""price"", $A$2, TODAY()), 2, FALSE), """")"),44.81)</f>
        <v>44.81</v>
      </c>
      <c r="K25" s="18">
        <f>IFERROR(__xludf.DUMMYFUNCTION("IFERROR(VLOOKUP($A25, GOOGLEFINANCE(K$1, ""price"", $A$2, TODAY()), 2, FALSE), """")"),44.01)</f>
        <v>44.01</v>
      </c>
      <c r="L25" s="18">
        <f>IFERROR(__xludf.DUMMYFUNCTION("IFERROR(VLOOKUP($A25, GOOGLEFINANCE(L$1, ""price"", $A$2, TODAY()), 2, FALSE), """")"),39.02)</f>
        <v>39.02</v>
      </c>
      <c r="M25" s="196">
        <f>IFERROR(__xludf.DUMMYFUNCTION("IFERROR(VLOOKUP($A25, GOOGLEFINANCE(M$1, ""price"", $A$2, TODAY()), 2, FALSE), """")"),42.85)</f>
        <v>42.85</v>
      </c>
      <c r="O25" s="18">
        <v>0.1902401504144945</v>
      </c>
      <c r="P25" s="18">
        <v>0.18155713186907102</v>
      </c>
      <c r="Q25" s="18">
        <v>0.08739423980856338</v>
      </c>
      <c r="R25" s="18">
        <v>0.17183146739594907</v>
      </c>
      <c r="S25" s="18">
        <v>0.2516366122553628</v>
      </c>
      <c r="T25" s="18">
        <v>0.14014186821639177</v>
      </c>
      <c r="U25" s="18">
        <v>0.22994615844799593</v>
      </c>
      <c r="V25" s="18">
        <v>0.07659174429535938</v>
      </c>
      <c r="W25" s="18">
        <v>0.0752243398000171</v>
      </c>
      <c r="X25" s="18">
        <v>0.06669515426031965</v>
      </c>
      <c r="Y25" s="196">
        <v>0.0732416032817708</v>
      </c>
      <c r="AA25" s="18">
        <v>0.011535015726350073</v>
      </c>
      <c r="AB25" s="18">
        <v>0.00921658733122066</v>
      </c>
      <c r="AC25" s="18">
        <v>0.013599738371047776</v>
      </c>
      <c r="AD25" s="18">
        <v>-0.012447569570155692</v>
      </c>
      <c r="AE25" s="18">
        <v>-0.034536047398882275</v>
      </c>
      <c r="AF25" s="18">
        <v>-0.02820378561315251</v>
      </c>
      <c r="AG25" s="18">
        <v>-0.007592581727567715</v>
      </c>
      <c r="AH25" s="18">
        <v>0.02058766578397564</v>
      </c>
      <c r="AI25" s="18">
        <v>-0.016174203085914662</v>
      </c>
      <c r="AJ25" s="18">
        <v>0.006773373653865766</v>
      </c>
      <c r="AK25" s="18">
        <v>-0.006720373774497634</v>
      </c>
    </row>
    <row r="26">
      <c r="A26" s="230">
        <f>IFERROR(__xludf.DUMMYFUNCTION("""COMPUTED_VALUE"""),45716.66666666667)</f>
        <v>45716.66667</v>
      </c>
      <c r="B26" s="18">
        <f>IFERROR(__xludf.DUMMYFUNCTION("""COMPUTED_VALUE"""),594.18)</f>
        <v>594.18</v>
      </c>
      <c r="C26" s="18">
        <f>IFERROR(__xludf.DUMMYFUNCTION("IFERROR(VLOOKUP($A26, GOOGLEFINANCE(C$1, ""price"", $A$2, TODAY()), 2, FALSE), """")"),112.77)</f>
        <v>112.77</v>
      </c>
      <c r="D26" s="18">
        <f>IFERROR(__xludf.DUMMYFUNCTION("IFERROR(VLOOKUP($A26, GOOGLEFINANCE(D$1, ""price"", $A$2, TODAY()), 2, FALSE), """")"),107.98)</f>
        <v>107.98</v>
      </c>
      <c r="E26" s="18">
        <f>IFERROR(__xludf.DUMMYFUNCTION("IFERROR(VLOOKUP($A26, GOOGLEFINANCE(E$1, ""price"", $A$2, TODAY()), 2, FALSE), """")"),52.18)</f>
        <v>52.18</v>
      </c>
      <c r="F26" s="18">
        <f>IFERROR(__xludf.DUMMYFUNCTION("IFERROR(VLOOKUP($A26, GOOGLEFINANCE(F$1, ""price"", $A$2, TODAY()), 2, FALSE), """")"),102.0)</f>
        <v>102</v>
      </c>
      <c r="G26" s="18">
        <f>IFERROR(__xludf.DUMMYFUNCTION("IFERROR(VLOOKUP($A26, GOOGLEFINANCE(G$1, ""price"", $A$2, TODAY()), 2, FALSE), """")"),148.93)</f>
        <v>148.93</v>
      </c>
      <c r="H26" s="18">
        <f>IFERROR(__xludf.DUMMYFUNCTION("IFERROR(VLOOKUP($A26, GOOGLEFINANCE(H$1, ""price"", $A$2, TODAY()), 2, FALSE), """")"),83.08)</f>
        <v>83.08</v>
      </c>
      <c r="I26" s="18">
        <f>IFERROR(__xludf.DUMMYFUNCTION("IFERROR(VLOOKUP($A26, GOOGLEFINANCE(I$1, ""price"", $A$2, TODAY()), 2, FALSE), """")"),136.33)</f>
        <v>136.33</v>
      </c>
      <c r="J26" s="18">
        <f>IFERROR(__xludf.DUMMYFUNCTION("IFERROR(VLOOKUP($A26, GOOGLEFINANCE(J$1, ""price"", $A$2, TODAY()), 2, FALSE), """")"),45.5)</f>
        <v>45.5</v>
      </c>
      <c r="K26" s="18">
        <f>IFERROR(__xludf.DUMMYFUNCTION("IFERROR(VLOOKUP($A26, GOOGLEFINANCE(K$1, ""price"", $A$2, TODAY()), 2, FALSE), """")"),44.38)</f>
        <v>44.38</v>
      </c>
      <c r="L26" s="18">
        <f>IFERROR(__xludf.DUMMYFUNCTION("IFERROR(VLOOKUP($A26, GOOGLEFINANCE(L$1, ""price"", $A$2, TODAY()), 2, FALSE), """")"),39.61)</f>
        <v>39.61</v>
      </c>
      <c r="M26" s="196">
        <f>IFERROR(__xludf.DUMMYFUNCTION("IFERROR(VLOOKUP($A26, GOOGLEFINANCE(M$1, ""price"", $A$2, TODAY()), 2, FALSE), """")"),43.15)</f>
        <v>43.15</v>
      </c>
      <c r="O26" s="18">
        <v>0.18979097243259618</v>
      </c>
      <c r="P26" s="18">
        <v>0.18172944225655527</v>
      </c>
      <c r="Q26" s="18">
        <v>0.08781850617657949</v>
      </c>
      <c r="R26" s="18">
        <v>0.17166515197414925</v>
      </c>
      <c r="S26" s="18">
        <v>0.25064795179911814</v>
      </c>
      <c r="T26" s="18">
        <v>0.1398229492746306</v>
      </c>
      <c r="U26" s="18">
        <v>0.22944225655525266</v>
      </c>
      <c r="V26" s="18">
        <v>0.07657612171395874</v>
      </c>
      <c r="W26" s="18">
        <v>0.07469117102561515</v>
      </c>
      <c r="X26" s="18">
        <v>0.06666330068329462</v>
      </c>
      <c r="Y26" s="196">
        <v>0.07262109125180922</v>
      </c>
      <c r="AA26" s="18">
        <v>3.1497065416652426E-4</v>
      </c>
      <c r="AB26" s="18">
        <v>0.017713150373349862</v>
      </c>
      <c r="AC26" s="18">
        <v>0.029650530887940896</v>
      </c>
      <c r="AD26" s="18">
        <v>-0.014204862648798278</v>
      </c>
      <c r="AE26" s="18">
        <v>-0.03300396302151587</v>
      </c>
      <c r="AF26" s="18">
        <v>-0.028157941754220928</v>
      </c>
      <c r="AG26" s="18">
        <v>-0.01571408271656538</v>
      </c>
      <c r="AH26" s="18">
        <v>0.008731015953868049</v>
      </c>
      <c r="AI26" s="18">
        <v>-0.020356656409194263</v>
      </c>
      <c r="AJ26" s="18">
        <v>-0.006656452017515191</v>
      </c>
      <c r="AK26" s="18">
        <v>-0.015212176271674815</v>
      </c>
    </row>
    <row r="27">
      <c r="A27" s="230">
        <f>IFERROR(__xludf.DUMMYFUNCTION("""COMPUTED_VALUE"""),45719.66666666667)</f>
        <v>45719.66667</v>
      </c>
      <c r="B27" s="18">
        <f>IFERROR(__xludf.DUMMYFUNCTION("""COMPUTED_VALUE"""),583.77)</f>
        <v>583.77</v>
      </c>
      <c r="C27" s="18">
        <f>IFERROR(__xludf.DUMMYFUNCTION("IFERROR(VLOOKUP($A27, GOOGLEFINANCE(C$1, ""price"", $A$2, TODAY()), 2, FALSE), """")"),109.34)</f>
        <v>109.34</v>
      </c>
      <c r="D27" s="18">
        <f>IFERROR(__xludf.DUMMYFUNCTION("IFERROR(VLOOKUP($A27, GOOGLEFINANCE(D$1, ""price"", $A$2, TODAY()), 2, FALSE), """")"),105.99)</f>
        <v>105.99</v>
      </c>
      <c r="E27" s="18">
        <f>IFERROR(__xludf.DUMMYFUNCTION("IFERROR(VLOOKUP($A27, GOOGLEFINANCE(E$1, ""price"", $A$2, TODAY()), 2, FALSE), """")"),51.74)</f>
        <v>51.74</v>
      </c>
      <c r="F27" s="18">
        <f>IFERROR(__xludf.DUMMYFUNCTION("IFERROR(VLOOKUP($A27, GOOGLEFINANCE(F$1, ""price"", $A$2, TODAY()), 2, FALSE), """")"),100.98)</f>
        <v>100.98</v>
      </c>
      <c r="G27" s="18">
        <f>IFERROR(__xludf.DUMMYFUNCTION("IFERROR(VLOOKUP($A27, GOOGLEFINANCE(G$1, ""price"", $A$2, TODAY()), 2, FALSE), """")"),149.58)</f>
        <v>149.58</v>
      </c>
      <c r="H27" s="18">
        <f>IFERROR(__xludf.DUMMYFUNCTION("IFERROR(VLOOKUP($A27, GOOGLEFINANCE(H$1, ""price"", $A$2, TODAY()), 2, FALSE), """")"),83.52)</f>
        <v>83.52</v>
      </c>
      <c r="I27" s="18">
        <f>IFERROR(__xludf.DUMMYFUNCTION("IFERROR(VLOOKUP($A27, GOOGLEFINANCE(I$1, ""price"", $A$2, TODAY()), 2, FALSE), """")"),134.39)</f>
        <v>134.39</v>
      </c>
      <c r="J27" s="18">
        <f>IFERROR(__xludf.DUMMYFUNCTION("IFERROR(VLOOKUP($A27, GOOGLEFINANCE(J$1, ""price"", $A$2, TODAY()), 2, FALSE), """")"),43.91)</f>
        <v>43.91</v>
      </c>
      <c r="K27" s="18">
        <f>IFERROR(__xludf.DUMMYFUNCTION("IFERROR(VLOOKUP($A27, GOOGLEFINANCE(K$1, ""price"", $A$2, TODAY()), 2, FALSE), """")"),43.49)</f>
        <v>43.49</v>
      </c>
      <c r="L27" s="18">
        <f>IFERROR(__xludf.DUMMYFUNCTION("IFERROR(VLOOKUP($A27, GOOGLEFINANCE(L$1, ""price"", $A$2, TODAY()), 2, FALSE), """")"),39.67)</f>
        <v>39.67</v>
      </c>
      <c r="M27" s="196">
        <f>IFERROR(__xludf.DUMMYFUNCTION("IFERROR(VLOOKUP($A27, GOOGLEFINANCE(M$1, ""price"", $A$2, TODAY()), 2, FALSE), """")"),43.52)</f>
        <v>43.52</v>
      </c>
      <c r="O27" s="18">
        <v>0.18729979272658753</v>
      </c>
      <c r="P27" s="18">
        <v>0.18156123130685028</v>
      </c>
      <c r="Q27" s="18">
        <v>0.08863079637528479</v>
      </c>
      <c r="R27" s="18">
        <v>0.17297908422837763</v>
      </c>
      <c r="S27" s="18">
        <v>0.25623104989978934</v>
      </c>
      <c r="T27" s="18">
        <v>0.14307004470938897</v>
      </c>
      <c r="U27" s="18">
        <v>0.23021052811895093</v>
      </c>
      <c r="V27" s="18">
        <v>0.07521797968377957</v>
      </c>
      <c r="W27" s="18">
        <v>0.07449851825205132</v>
      </c>
      <c r="X27" s="18">
        <v>0.06795484523014202</v>
      </c>
      <c r="Y27" s="196">
        <v>0.07454990835431763</v>
      </c>
      <c r="AA27" s="18">
        <v>0.0035029896460905263</v>
      </c>
      <c r="AB27" s="18">
        <v>0.026314359644994845</v>
      </c>
      <c r="AC27" s="18">
        <v>0.034665802416850244</v>
      </c>
      <c r="AD27" s="18">
        <v>-0.00839947809853836</v>
      </c>
      <c r="AE27" s="18">
        <v>-0.027304110836162132</v>
      </c>
      <c r="AF27" s="18">
        <v>-0.0299684849638453</v>
      </c>
      <c r="AG27" s="18">
        <v>-0.0234474623312787</v>
      </c>
      <c r="AH27" s="18">
        <v>-0.04255914961096385</v>
      </c>
      <c r="AI27" s="18">
        <v>-0.028781875308489968</v>
      </c>
      <c r="AJ27" s="18">
        <v>-0.0249775495491934</v>
      </c>
      <c r="AK27" s="18">
        <v>-0.006391164401726712</v>
      </c>
    </row>
    <row r="28">
      <c r="A28" s="230">
        <f>IFERROR(__xludf.DUMMYFUNCTION("""COMPUTED_VALUE"""),45720.66666666667)</f>
        <v>45720.66667</v>
      </c>
      <c r="B28" s="18">
        <f>IFERROR(__xludf.DUMMYFUNCTION("""COMPUTED_VALUE"""),576.86)</f>
        <v>576.86</v>
      </c>
      <c r="C28" s="18">
        <f>IFERROR(__xludf.DUMMYFUNCTION("IFERROR(VLOOKUP($A28, GOOGLEFINANCE(C$1, ""price"", $A$2, TODAY()), 2, FALSE), """")"),109.25)</f>
        <v>109.25</v>
      </c>
      <c r="D28" s="18">
        <f>IFERROR(__xludf.DUMMYFUNCTION("IFERROR(VLOOKUP($A28, GOOGLEFINANCE(D$1, ""price"", $A$2, TODAY()), 2, FALSE), """")"),104.12)</f>
        <v>104.12</v>
      </c>
      <c r="E28" s="18">
        <f>IFERROR(__xludf.DUMMYFUNCTION("IFERROR(VLOOKUP($A28, GOOGLEFINANCE(E$1, ""price"", $A$2, TODAY()), 2, FALSE), """")"),49.92)</f>
        <v>49.92</v>
      </c>
      <c r="F28" s="18">
        <f>IFERROR(__xludf.DUMMYFUNCTION("IFERROR(VLOOKUP($A28, GOOGLEFINANCE(F$1, ""price"", $A$2, TODAY()), 2, FALSE), """")"),100.18)</f>
        <v>100.18</v>
      </c>
      <c r="G28" s="18">
        <f>IFERROR(__xludf.DUMMYFUNCTION("IFERROR(VLOOKUP($A28, GOOGLEFINANCE(G$1, ""price"", $A$2, TODAY()), 2, FALSE), """")"),148.19)</f>
        <v>148.19</v>
      </c>
      <c r="H28" s="18">
        <f>IFERROR(__xludf.DUMMYFUNCTION("IFERROR(VLOOKUP($A28, GOOGLEFINANCE(H$1, ""price"", $A$2, TODAY()), 2, FALSE), """")"),82.1)</f>
        <v>82.1</v>
      </c>
      <c r="I28" s="18">
        <f>IFERROR(__xludf.DUMMYFUNCTION("IFERROR(VLOOKUP($A28, GOOGLEFINANCE(I$1, ""price"", $A$2, TODAY()), 2, FALSE), """")"),131.77)</f>
        <v>131.77</v>
      </c>
      <c r="J28" s="18">
        <f>IFERROR(__xludf.DUMMYFUNCTION("IFERROR(VLOOKUP($A28, GOOGLEFINANCE(J$1, ""price"", $A$2, TODAY()), 2, FALSE), """")"),43.49)</f>
        <v>43.49</v>
      </c>
      <c r="K28" s="18">
        <f>IFERROR(__xludf.DUMMYFUNCTION("IFERROR(VLOOKUP($A28, GOOGLEFINANCE(K$1, ""price"", $A$2, TODAY()), 2, FALSE), """")"),42.9)</f>
        <v>42.9</v>
      </c>
      <c r="L28" s="18">
        <f>IFERROR(__xludf.DUMMYFUNCTION("IFERROR(VLOOKUP($A28, GOOGLEFINANCE(L$1, ""price"", $A$2, TODAY()), 2, FALSE), """")"),39.02)</f>
        <v>39.02</v>
      </c>
      <c r="M28" s="196">
        <f>IFERROR(__xludf.DUMMYFUNCTION("IFERROR(VLOOKUP($A28, GOOGLEFINANCE(M$1, ""price"", $A$2, TODAY()), 2, FALSE), """")"),43.02)</f>
        <v>43.02</v>
      </c>
      <c r="O28" s="18">
        <v>0.18938737301945013</v>
      </c>
      <c r="P28" s="18">
        <v>0.1804944007211455</v>
      </c>
      <c r="Q28" s="18">
        <v>0.08653746142911625</v>
      </c>
      <c r="R28" s="18">
        <v>0.17366432063238915</v>
      </c>
      <c r="S28" s="18">
        <v>0.2568907533890372</v>
      </c>
      <c r="T28" s="18">
        <v>0.14232222723017715</v>
      </c>
      <c r="U28" s="18">
        <v>0.22842630794300178</v>
      </c>
      <c r="V28" s="18">
        <v>0.07539090940609507</v>
      </c>
      <c r="W28" s="18">
        <v>0.07436813091564677</v>
      </c>
      <c r="X28" s="18">
        <v>0.06764206219880041</v>
      </c>
      <c r="Y28" s="196">
        <v>0.07457615365946677</v>
      </c>
      <c r="AA28" s="18">
        <v>0.01040526304196443</v>
      </c>
      <c r="AB28" s="18">
        <v>0.021796815161906347</v>
      </c>
      <c r="AC28" s="18">
        <v>0.010458003731869558</v>
      </c>
      <c r="AD28" s="18">
        <v>0.002007982625405136</v>
      </c>
      <c r="AE28" s="18">
        <v>-0.022246284923774007</v>
      </c>
      <c r="AF28" s="18">
        <v>-0.028847765290289984</v>
      </c>
      <c r="AG28" s="18">
        <v>-0.02407967175166359</v>
      </c>
      <c r="AH28" s="18">
        <v>-0.04071150475998231</v>
      </c>
      <c r="AI28" s="18">
        <v>-0.031105429139293483</v>
      </c>
      <c r="AJ28" s="18">
        <v>-0.028582402026424147</v>
      </c>
      <c r="AK28" s="18">
        <v>-0.0038833411251617544</v>
      </c>
    </row>
    <row r="29">
      <c r="A29" s="230">
        <f>IFERROR(__xludf.DUMMYFUNCTION("""COMPUTED_VALUE"""),45721.66666666667)</f>
        <v>45721.66667</v>
      </c>
      <c r="B29" s="18">
        <f>IFERROR(__xludf.DUMMYFUNCTION("""COMPUTED_VALUE"""),583.06)</f>
        <v>583.06</v>
      </c>
      <c r="C29" s="18">
        <f>IFERROR(__xludf.DUMMYFUNCTION("IFERROR(VLOOKUP($A29, GOOGLEFINANCE(C$1, ""price"", $A$2, TODAY()), 2, FALSE), """")"),110.79)</f>
        <v>110.79</v>
      </c>
      <c r="D29" s="18">
        <f>IFERROR(__xludf.DUMMYFUNCTION("IFERROR(VLOOKUP($A29, GOOGLEFINANCE(D$1, ""price"", $A$2, TODAY()), 2, FALSE), """")"),105.71)</f>
        <v>105.71</v>
      </c>
      <c r="E29" s="18">
        <f>IFERROR(__xludf.DUMMYFUNCTION("IFERROR(VLOOKUP($A29, GOOGLEFINANCE(E$1, ""price"", $A$2, TODAY()), 2, FALSE), """")"),50.21)</f>
        <v>50.21</v>
      </c>
      <c r="F29" s="18">
        <f>IFERROR(__xludf.DUMMYFUNCTION("IFERROR(VLOOKUP($A29, GOOGLEFINANCE(F$1, ""price"", $A$2, TODAY()), 2, FALSE), """")"),101.47)</f>
        <v>101.47</v>
      </c>
      <c r="G29" s="18">
        <f>IFERROR(__xludf.DUMMYFUNCTION("IFERROR(VLOOKUP($A29, GOOGLEFINANCE(G$1, ""price"", $A$2, TODAY()), 2, FALSE), """")"),149.68)</f>
        <v>149.68</v>
      </c>
      <c r="H29" s="18">
        <f>IFERROR(__xludf.DUMMYFUNCTION("IFERROR(VLOOKUP($A29, GOOGLEFINANCE(H$1, ""price"", $A$2, TODAY()), 2, FALSE), """")"),82.44)</f>
        <v>82.44</v>
      </c>
      <c r="I29" s="18">
        <f>IFERROR(__xludf.DUMMYFUNCTION("IFERROR(VLOOKUP($A29, GOOGLEFINANCE(I$1, ""price"", $A$2, TODAY()), 2, FALSE), """")"),133.85)</f>
        <v>133.85</v>
      </c>
      <c r="J29" s="18">
        <f>IFERROR(__xludf.DUMMYFUNCTION("IFERROR(VLOOKUP($A29, GOOGLEFINANCE(J$1, ""price"", $A$2, TODAY()), 2, FALSE), """")"),42.85)</f>
        <v>42.85</v>
      </c>
      <c r="K29" s="18">
        <f>IFERROR(__xludf.DUMMYFUNCTION("IFERROR(VLOOKUP($A29, GOOGLEFINANCE(K$1, ""price"", $A$2, TODAY()), 2, FALSE), """")"),44.02)</f>
        <v>44.02</v>
      </c>
      <c r="L29" s="18">
        <f>IFERROR(__xludf.DUMMYFUNCTION("IFERROR(VLOOKUP($A29, GOOGLEFINANCE(L$1, ""price"", $A$2, TODAY()), 2, FALSE), """")"),38.74)</f>
        <v>38.74</v>
      </c>
      <c r="M29" s="196">
        <f>IFERROR(__xludf.DUMMYFUNCTION("IFERROR(VLOOKUP($A29, GOOGLEFINANCE(M$1, ""price"", $A$2, TODAY()), 2, FALSE), """")"),43.42)</f>
        <v>43.42</v>
      </c>
      <c r="O29" s="18">
        <v>0.19001474976846297</v>
      </c>
      <c r="P29" s="18">
        <v>0.18130209583919324</v>
      </c>
      <c r="Q29" s="18">
        <v>0.08611463657256543</v>
      </c>
      <c r="R29" s="18">
        <v>0.1740301169690941</v>
      </c>
      <c r="S29" s="18">
        <v>0.2567145748293486</v>
      </c>
      <c r="T29" s="18">
        <v>0.14139196652145578</v>
      </c>
      <c r="U29" s="18">
        <v>0.22956471032140777</v>
      </c>
      <c r="V29" s="18">
        <v>0.07349157891126129</v>
      </c>
      <c r="W29" s="18">
        <v>0.07549823345796318</v>
      </c>
      <c r="X29" s="18">
        <v>0.06644256165746236</v>
      </c>
      <c r="Y29" s="196">
        <v>0.0744691798442699</v>
      </c>
      <c r="AA29" s="18">
        <v>0.003340355282510421</v>
      </c>
      <c r="AB29" s="18">
        <v>0.025861114727649293</v>
      </c>
      <c r="AC29" s="18">
        <v>0.009372628802635008</v>
      </c>
      <c r="AD29" s="18">
        <v>0.004442956423810873</v>
      </c>
      <c r="AE29" s="18">
        <v>-0.007814146370137887</v>
      </c>
      <c r="AF29" s="18">
        <v>-0.008535403640577255</v>
      </c>
      <c r="AG29" s="18">
        <v>-0.01393567245157823</v>
      </c>
      <c r="AH29" s="18">
        <v>-0.0642005307328185</v>
      </c>
      <c r="AI29" s="18">
        <v>-0.006505822165013275</v>
      </c>
      <c r="AJ29" s="18">
        <v>-0.03776225878450412</v>
      </c>
      <c r="AK29" s="18">
        <v>0.003583085111336315</v>
      </c>
    </row>
    <row r="30">
      <c r="A30" s="230">
        <f>IFERROR(__xludf.DUMMYFUNCTION("""COMPUTED_VALUE"""),45722.66666666667)</f>
        <v>45722.66667</v>
      </c>
      <c r="B30" s="18">
        <f>IFERROR(__xludf.DUMMYFUNCTION("""COMPUTED_VALUE"""),572.71)</f>
        <v>572.71</v>
      </c>
      <c r="C30" s="18">
        <f>IFERROR(__xludf.DUMMYFUNCTION("IFERROR(VLOOKUP($A30, GOOGLEFINANCE(C$1, ""price"", $A$2, TODAY()), 2, FALSE), """")"),107.71)</f>
        <v>107.71</v>
      </c>
      <c r="D30" s="18">
        <f>IFERROR(__xludf.DUMMYFUNCTION("IFERROR(VLOOKUP($A30, GOOGLEFINANCE(D$1, ""price"", $A$2, TODAY()), 2, FALSE), """")"),103.03)</f>
        <v>103.03</v>
      </c>
      <c r="E30" s="18">
        <f>IFERROR(__xludf.DUMMYFUNCTION("IFERROR(VLOOKUP($A30, GOOGLEFINANCE(E$1, ""price"", $A$2, TODAY()), 2, FALSE), """")"),49.38)</f>
        <v>49.38</v>
      </c>
      <c r="F30" s="18">
        <f>IFERROR(__xludf.DUMMYFUNCTION("IFERROR(VLOOKUP($A30, GOOGLEFINANCE(F$1, ""price"", $A$2, TODAY()), 2, FALSE), """")"),99.65)</f>
        <v>99.65</v>
      </c>
      <c r="G30" s="18">
        <f>IFERROR(__xludf.DUMMYFUNCTION("IFERROR(VLOOKUP($A30, GOOGLEFINANCE(G$1, ""price"", $A$2, TODAY()), 2, FALSE), """")"),149.27)</f>
        <v>149.27</v>
      </c>
      <c r="H30" s="18">
        <f>IFERROR(__xludf.DUMMYFUNCTION("IFERROR(VLOOKUP($A30, GOOGLEFINANCE(H$1, ""price"", $A$2, TODAY()), 2, FALSE), """")"),82.59)</f>
        <v>82.59</v>
      </c>
      <c r="I30" s="18">
        <f>IFERROR(__xludf.DUMMYFUNCTION("IFERROR(VLOOKUP($A30, GOOGLEFINANCE(I$1, ""price"", $A$2, TODAY()), 2, FALSE), """")"),132.7)</f>
        <v>132.7</v>
      </c>
      <c r="J30" s="18">
        <f>IFERROR(__xludf.DUMMYFUNCTION("IFERROR(VLOOKUP($A30, GOOGLEFINANCE(J$1, ""price"", $A$2, TODAY()), 2, FALSE), """")"),42.98)</f>
        <v>42.98</v>
      </c>
      <c r="K30" s="18">
        <f>IFERROR(__xludf.DUMMYFUNCTION("IFERROR(VLOOKUP($A30, GOOGLEFINANCE(K$1, ""price"", $A$2, TODAY()), 2, FALSE), """")"),43.79)</f>
        <v>43.79</v>
      </c>
      <c r="L30" s="18">
        <f>IFERROR(__xludf.DUMMYFUNCTION("IFERROR(VLOOKUP($A30, GOOGLEFINANCE(L$1, ""price"", $A$2, TODAY()), 2, FALSE), """")"),37.94)</f>
        <v>37.94</v>
      </c>
      <c r="M30" s="196">
        <f>IFERROR(__xludf.DUMMYFUNCTION("IFERROR(VLOOKUP($A30, GOOGLEFINANCE(M$1, ""price"", $A$2, TODAY()), 2, FALSE), """")"),42.23)</f>
        <v>42.23</v>
      </c>
      <c r="O30" s="18">
        <v>0.18807075134011975</v>
      </c>
      <c r="P30" s="18">
        <v>0.17989907632134935</v>
      </c>
      <c r="Q30" s="18">
        <v>0.08622164795446212</v>
      </c>
      <c r="R30" s="18">
        <v>0.1739973110300152</v>
      </c>
      <c r="S30" s="18">
        <v>0.26063801924185015</v>
      </c>
      <c r="T30" s="18">
        <v>0.14420911106842904</v>
      </c>
      <c r="U30" s="18">
        <v>0.23170540063906686</v>
      </c>
      <c r="V30" s="18">
        <v>0.075046707757853</v>
      </c>
      <c r="W30" s="18">
        <v>0.07646103612648635</v>
      </c>
      <c r="X30" s="18">
        <v>0.06624644235302334</v>
      </c>
      <c r="Y30" s="196">
        <v>0.07373714445356287</v>
      </c>
      <c r="AA30" s="18">
        <v>-0.0011945131082651272</v>
      </c>
      <c r="AB30" s="18">
        <v>0.030113693303410738</v>
      </c>
      <c r="AC30" s="18">
        <v>0.0026221238939159175</v>
      </c>
      <c r="AD30" s="18">
        <v>0.0116574994535108</v>
      </c>
      <c r="AE30" s="18">
        <v>-7.577239078009335E-4</v>
      </c>
      <c r="AF30" s="18">
        <v>0.0023923865543065137</v>
      </c>
      <c r="AG30" s="18">
        <v>-0.007866190243871363</v>
      </c>
      <c r="AH30" s="18">
        <v>-0.0506479561405071</v>
      </c>
      <c r="AI30" s="18">
        <v>-0.006547018358456613</v>
      </c>
      <c r="AJ30" s="18">
        <v>-0.05559428018862145</v>
      </c>
      <c r="AK30" s="18">
        <v>3.349596252810727E-6</v>
      </c>
    </row>
    <row r="31">
      <c r="A31" s="230">
        <f>IFERROR(__xludf.DUMMYFUNCTION("""COMPUTED_VALUE"""),45723.66666666667)</f>
        <v>45723.66667</v>
      </c>
      <c r="B31" s="18">
        <f>IFERROR(__xludf.DUMMYFUNCTION("""COMPUTED_VALUE"""),575.92)</f>
        <v>575.92</v>
      </c>
      <c r="C31" s="18">
        <f>IFERROR(__xludf.DUMMYFUNCTION("IFERROR(VLOOKUP($A31, GOOGLEFINANCE(C$1, ""price"", $A$2, TODAY()), 2, FALSE), """")"),109.27)</f>
        <v>109.27</v>
      </c>
      <c r="D31" s="18">
        <f>IFERROR(__xludf.DUMMYFUNCTION("IFERROR(VLOOKUP($A31, GOOGLEFINANCE(D$1, ""price"", $A$2, TODAY()), 2, FALSE), """")"),102.84)</f>
        <v>102.84</v>
      </c>
      <c r="E31" s="18">
        <f>IFERROR(__xludf.DUMMYFUNCTION("IFERROR(VLOOKUP($A31, GOOGLEFINANCE(E$1, ""price"", $A$2, TODAY()), 2, FALSE), """")"),49.12)</f>
        <v>49.12</v>
      </c>
      <c r="F31" s="18">
        <f>IFERROR(__xludf.DUMMYFUNCTION("IFERROR(VLOOKUP($A31, GOOGLEFINANCE(F$1, ""price"", $A$2, TODAY()), 2, FALSE), """")"),100.29)</f>
        <v>100.29</v>
      </c>
      <c r="G31" s="18">
        <f>IFERROR(__xludf.DUMMYFUNCTION("IFERROR(VLOOKUP($A31, GOOGLEFINANCE(G$1, ""price"", $A$2, TODAY()), 2, FALSE), """")"),149.28)</f>
        <v>149.28</v>
      </c>
      <c r="H31" s="18">
        <f>IFERROR(__xludf.DUMMYFUNCTION("IFERROR(VLOOKUP($A31, GOOGLEFINANCE(H$1, ""price"", $A$2, TODAY()), 2, FALSE), """")"),82.86)</f>
        <v>82.86</v>
      </c>
      <c r="I31" s="18">
        <f>IFERROR(__xludf.DUMMYFUNCTION("IFERROR(VLOOKUP($A31, GOOGLEFINANCE(I$1, ""price"", $A$2, TODAY()), 2, FALSE), """")"),134.25)</f>
        <v>134.25</v>
      </c>
      <c r="J31" s="18">
        <f>IFERROR(__xludf.DUMMYFUNCTION("IFERROR(VLOOKUP($A31, GOOGLEFINANCE(J$1, ""price"", $A$2, TODAY()), 2, FALSE), """")"),43.72)</f>
        <v>43.72</v>
      </c>
      <c r="K31" s="18">
        <f>IFERROR(__xludf.DUMMYFUNCTION("IFERROR(VLOOKUP($A31, GOOGLEFINANCE(K$1, ""price"", $A$2, TODAY()), 2, FALSE), """")"),43.91)</f>
        <v>43.91</v>
      </c>
      <c r="L31" s="18">
        <f>IFERROR(__xludf.DUMMYFUNCTION("IFERROR(VLOOKUP($A31, GOOGLEFINANCE(L$1, ""price"", $A$2, TODAY()), 2, FALSE), """")"),38.65)</f>
        <v>38.65</v>
      </c>
      <c r="M31" s="196">
        <f>IFERROR(__xludf.DUMMYFUNCTION("IFERROR(VLOOKUP($A31, GOOGLEFINANCE(M$1, ""price"", $A$2, TODAY()), 2, FALSE), """")"),42.47)</f>
        <v>42.47</v>
      </c>
      <c r="O31" s="18">
        <v>0.18973121266842619</v>
      </c>
      <c r="P31" s="18">
        <v>0.1785664675649396</v>
      </c>
      <c r="Q31" s="18">
        <v>0.08528962355882762</v>
      </c>
      <c r="R31" s="18">
        <v>0.17413876927351024</v>
      </c>
      <c r="S31" s="18">
        <v>0.2592026670370885</v>
      </c>
      <c r="T31" s="18">
        <v>0.14387414918738714</v>
      </c>
      <c r="U31" s="18">
        <v>0.23310529240172248</v>
      </c>
      <c r="V31" s="18">
        <v>0.07591332129462426</v>
      </c>
      <c r="W31" s="18">
        <v>0.07624322822614252</v>
      </c>
      <c r="X31" s="18">
        <v>0.06711001527989999</v>
      </c>
      <c r="Y31" s="196">
        <v>0.07374288095568829</v>
      </c>
      <c r="AA31" s="18">
        <v>-0.001751670543919448</v>
      </c>
      <c r="AB31" s="18">
        <v>0.02185046883806474</v>
      </c>
      <c r="AC31" s="18">
        <v>-0.010679038846995836</v>
      </c>
      <c r="AD31" s="18">
        <v>0.014775737573248016</v>
      </c>
      <c r="AE31" s="18">
        <v>0.006567674292028869</v>
      </c>
      <c r="AF31" s="18">
        <v>0.018410387424894203</v>
      </c>
      <c r="AG31" s="18">
        <v>4.87986094817483E-4</v>
      </c>
      <c r="AH31" s="18">
        <v>-0.04802191716070692</v>
      </c>
      <c r="AI31" s="18">
        <v>-0.001850400605832525</v>
      </c>
      <c r="AJ31" s="18">
        <v>-0.042338040068952476</v>
      </c>
      <c r="AK31" s="18">
        <v>0.0012842178690208872</v>
      </c>
    </row>
    <row r="32">
      <c r="A32" s="230">
        <f>IFERROR(__xludf.DUMMYFUNCTION("""COMPUTED_VALUE"""),45726.66666666667)</f>
        <v>45726.66667</v>
      </c>
      <c r="B32" s="18">
        <f>IFERROR(__xludf.DUMMYFUNCTION("""COMPUTED_VALUE"""),560.58)</f>
        <v>560.58</v>
      </c>
      <c r="C32" s="18">
        <f>IFERROR(__xludf.DUMMYFUNCTION("IFERROR(VLOOKUP($A32, GOOGLEFINANCE(C$1, ""price"", $A$2, TODAY()), 2, FALSE), """")"),104.63)</f>
        <v>104.63</v>
      </c>
      <c r="D32" s="18">
        <f>IFERROR(__xludf.DUMMYFUNCTION("IFERROR(VLOOKUP($A32, GOOGLEFINANCE(D$1, ""price"", $A$2, TODAY()), 2, FALSE), """")"),99.17)</f>
        <v>99.17</v>
      </c>
      <c r="E32" s="18">
        <f>IFERROR(__xludf.DUMMYFUNCTION("IFERROR(VLOOKUP($A32, GOOGLEFINANCE(E$1, ""price"", $A$2, TODAY()), 2, FALSE), """")"),48.02)</f>
        <v>48.02</v>
      </c>
      <c r="F32" s="18">
        <f>IFERROR(__xludf.DUMMYFUNCTION("IFERROR(VLOOKUP($A32, GOOGLEFINANCE(F$1, ""price"", $A$2, TODAY()), 2, FALSE), """")"),97.79)</f>
        <v>97.79</v>
      </c>
      <c r="G32" s="18">
        <f>IFERROR(__xludf.DUMMYFUNCTION("IFERROR(VLOOKUP($A32, GOOGLEFINANCE(G$1, ""price"", $A$2, TODAY()), 2, FALSE), """")"),147.67)</f>
        <v>147.67</v>
      </c>
      <c r="H32" s="18">
        <f>IFERROR(__xludf.DUMMYFUNCTION("IFERROR(VLOOKUP($A32, GOOGLEFINANCE(H$1, ""price"", $A$2, TODAY()), 2, FALSE), """")"),82.68)</f>
        <v>82.68</v>
      </c>
      <c r="I32" s="18">
        <f>IFERROR(__xludf.DUMMYFUNCTION("IFERROR(VLOOKUP($A32, GOOGLEFINANCE(I$1, ""price"", $A$2, TODAY()), 2, FALSE), """")"),132.15)</f>
        <v>132.15</v>
      </c>
      <c r="J32" s="18">
        <f>IFERROR(__xludf.DUMMYFUNCTION("IFERROR(VLOOKUP($A32, GOOGLEFINANCE(J$1, ""price"", $A$2, TODAY()), 2, FALSE), """")"),44.04)</f>
        <v>44.04</v>
      </c>
      <c r="K32" s="18">
        <f>IFERROR(__xludf.DUMMYFUNCTION("IFERROR(VLOOKUP($A32, GOOGLEFINANCE(K$1, ""price"", $A$2, TODAY()), 2, FALSE), """")"),43.0)</f>
        <v>43</v>
      </c>
      <c r="L32" s="18">
        <f>IFERROR(__xludf.DUMMYFUNCTION("IFERROR(VLOOKUP($A32, GOOGLEFINANCE(L$1, ""price"", $A$2, TODAY()), 2, FALSE), """")"),39.07)</f>
        <v>39.07</v>
      </c>
      <c r="M32" s="196">
        <f>IFERROR(__xludf.DUMMYFUNCTION("IFERROR(VLOOKUP($A32, GOOGLEFINANCE(M$1, ""price"", $A$2, TODAY()), 2, FALSE), """")"),42.06)</f>
        <v>42.06</v>
      </c>
      <c r="O32" s="18">
        <v>0.18664597381283668</v>
      </c>
      <c r="P32" s="18">
        <v>0.1769060615790788</v>
      </c>
      <c r="Q32" s="18">
        <v>0.08566127938920404</v>
      </c>
      <c r="R32" s="18">
        <v>0.17444432551999714</v>
      </c>
      <c r="S32" s="18">
        <v>0.26342359698883294</v>
      </c>
      <c r="T32" s="18">
        <v>0.1474900995397624</v>
      </c>
      <c r="U32" s="18">
        <v>0.23573798565771165</v>
      </c>
      <c r="V32" s="18">
        <v>0.07856148988547575</v>
      </c>
      <c r="W32" s="18">
        <v>0.07670626850761711</v>
      </c>
      <c r="X32" s="18">
        <v>0.0696956723393628</v>
      </c>
      <c r="Y32" s="196">
        <v>0.07502943380070641</v>
      </c>
      <c r="AA32" s="18">
        <v>-0.017301670553747428</v>
      </c>
      <c r="AB32" s="18">
        <v>0.018498353716115412</v>
      </c>
      <c r="AC32" s="18">
        <v>-0.010332153074209316</v>
      </c>
      <c r="AD32" s="18">
        <v>0.017128603049926694</v>
      </c>
      <c r="AE32" s="18">
        <v>0.017923915188502892</v>
      </c>
      <c r="AF32" s="18">
        <v>0.036928349497659996</v>
      </c>
      <c r="AG32" s="18">
        <v>0.005707827333918836</v>
      </c>
      <c r="AH32" s="18">
        <v>-0.02289146954939547</v>
      </c>
      <c r="AI32" s="18">
        <v>-5.982039031693365E-4</v>
      </c>
      <c r="AJ32" s="18">
        <v>-0.0018206927457169453</v>
      </c>
      <c r="AK32" s="18">
        <v>0.008841711239228056</v>
      </c>
    </row>
    <row r="33">
      <c r="A33" s="230">
        <f>IFERROR(__xludf.DUMMYFUNCTION("""COMPUTED_VALUE"""),45727.66666666667)</f>
        <v>45727.66667</v>
      </c>
      <c r="B33" s="18">
        <f>IFERROR(__xludf.DUMMYFUNCTION("""COMPUTED_VALUE"""),555.92)</f>
        <v>555.92</v>
      </c>
      <c r="C33" s="18">
        <f>IFERROR(__xludf.DUMMYFUNCTION("IFERROR(VLOOKUP($A33, GOOGLEFINANCE(C$1, ""price"", $A$2, TODAY()), 2, FALSE), """")"),104.2)</f>
        <v>104.2</v>
      </c>
      <c r="D33" s="18">
        <f>IFERROR(__xludf.DUMMYFUNCTION("IFERROR(VLOOKUP($A33, GOOGLEFINANCE(D$1, ""price"", $A$2, TODAY()), 2, FALSE), """")"),98.2)</f>
        <v>98.2</v>
      </c>
      <c r="E33" s="18">
        <f>IFERROR(__xludf.DUMMYFUNCTION("IFERROR(VLOOKUP($A33, GOOGLEFINANCE(E$1, ""price"", $A$2, TODAY()), 2, FALSE), """")"),47.61)</f>
        <v>47.61</v>
      </c>
      <c r="F33" s="18">
        <f>IFERROR(__xludf.DUMMYFUNCTION("IFERROR(VLOOKUP($A33, GOOGLEFINANCE(F$1, ""price"", $A$2, TODAY()), 2, FALSE), """")"),96.35)</f>
        <v>96.35</v>
      </c>
      <c r="G33" s="18">
        <f>IFERROR(__xludf.DUMMYFUNCTION("IFERROR(VLOOKUP($A33, GOOGLEFINANCE(G$1, ""price"", $A$2, TODAY()), 2, FALSE), """")"),146.06)</f>
        <v>146.06</v>
      </c>
      <c r="H33" s="18">
        <f>IFERROR(__xludf.DUMMYFUNCTION("IFERROR(VLOOKUP($A33, GOOGLEFINANCE(H$1, ""price"", $A$2, TODAY()), 2, FALSE), """")"),81.47)</f>
        <v>81.47</v>
      </c>
      <c r="I33" s="18">
        <f>IFERROR(__xludf.DUMMYFUNCTION("IFERROR(VLOOKUP($A33, GOOGLEFINANCE(I$1, ""price"", $A$2, TODAY()), 2, FALSE), """")"),130.12)</f>
        <v>130.12</v>
      </c>
      <c r="J33" s="18">
        <f>IFERROR(__xludf.DUMMYFUNCTION("IFERROR(VLOOKUP($A33, GOOGLEFINANCE(J$1, ""price"", $A$2, TODAY()), 2, FALSE), """")"),43.69)</f>
        <v>43.69</v>
      </c>
      <c r="K33" s="18">
        <f>IFERROR(__xludf.DUMMYFUNCTION("IFERROR(VLOOKUP($A33, GOOGLEFINANCE(K$1, ""price"", $A$2, TODAY()), 2, FALSE), """")"),42.67)</f>
        <v>42.67</v>
      </c>
      <c r="L33" s="18">
        <f>IFERROR(__xludf.DUMMYFUNCTION("IFERROR(VLOOKUP($A33, GOOGLEFINANCE(L$1, ""price"", $A$2, TODAY()), 2, FALSE), """")"),38.71)</f>
        <v>38.71</v>
      </c>
      <c r="M33" s="196">
        <f>IFERROR(__xludf.DUMMYFUNCTION("IFERROR(VLOOKUP($A33, GOOGLEFINANCE(M$1, ""price"", $A$2, TODAY()), 2, FALSE), """")"),41.62)</f>
        <v>41.62</v>
      </c>
      <c r="O33" s="18">
        <v>0.18743704130090663</v>
      </c>
      <c r="P33" s="18">
        <v>0.17664412145632466</v>
      </c>
      <c r="Q33" s="18">
        <v>0.08564181896675781</v>
      </c>
      <c r="R33" s="18">
        <v>0.1733163045042452</v>
      </c>
      <c r="S33" s="18">
        <v>0.2627356454166067</v>
      </c>
      <c r="T33" s="18">
        <v>0.14654986328968198</v>
      </c>
      <c r="U33" s="18">
        <v>0.23406245502950068</v>
      </c>
      <c r="V33" s="18">
        <v>0.0785904446682976</v>
      </c>
      <c r="W33" s="18">
        <v>0.07675564829471868</v>
      </c>
      <c r="X33" s="18">
        <v>0.06963232119729458</v>
      </c>
      <c r="Y33" s="196">
        <v>0.07486688732191682</v>
      </c>
      <c r="AA33" s="18">
        <v>-0.008711077388436683</v>
      </c>
      <c r="AB33" s="18">
        <v>0.024298553172374726</v>
      </c>
      <c r="AC33" s="18">
        <v>-0.020053573797053525</v>
      </c>
      <c r="AD33" s="18">
        <v>0.013803702981666666</v>
      </c>
      <c r="AE33" s="18">
        <v>0.0038133464425542662</v>
      </c>
      <c r="AF33" s="18">
        <v>0.03093923890629946</v>
      </c>
      <c r="AG33" s="18">
        <v>-0.00429391476607166</v>
      </c>
      <c r="AH33" s="18">
        <v>-0.034578251197540766</v>
      </c>
      <c r="AI33" s="18">
        <v>-0.009170414028921603</v>
      </c>
      <c r="AJ33" s="18">
        <v>-0.006734685021454134</v>
      </c>
      <c r="AK33" s="18">
        <v>0.0019518398220841338</v>
      </c>
    </row>
    <row r="34">
      <c r="A34" s="230">
        <f>IFERROR(__xludf.DUMMYFUNCTION("""COMPUTED_VALUE"""),45728.66666666667)</f>
        <v>45728.66667</v>
      </c>
      <c r="B34" s="18">
        <f>IFERROR(__xludf.DUMMYFUNCTION("""COMPUTED_VALUE"""),558.87)</f>
        <v>558.87</v>
      </c>
      <c r="C34" s="18">
        <f>IFERROR(__xludf.DUMMYFUNCTION("IFERROR(VLOOKUP($A34, GOOGLEFINANCE(C$1, ""price"", $A$2, TODAY()), 2, FALSE), """")"),105.84)</f>
        <v>105.84</v>
      </c>
      <c r="D34" s="18">
        <f>IFERROR(__xludf.DUMMYFUNCTION("IFERROR(VLOOKUP($A34, GOOGLEFINANCE(D$1, ""price"", $A$2, TODAY()), 2, FALSE), """")"),98.77)</f>
        <v>98.77</v>
      </c>
      <c r="E34" s="18">
        <f>IFERROR(__xludf.DUMMYFUNCTION("IFERROR(VLOOKUP($A34, GOOGLEFINANCE(E$1, ""price"", $A$2, TODAY()), 2, FALSE), """")"),47.68)</f>
        <v>47.68</v>
      </c>
      <c r="F34" s="18">
        <f>IFERROR(__xludf.DUMMYFUNCTION("IFERROR(VLOOKUP($A34, GOOGLEFINANCE(F$1, ""price"", $A$2, TODAY()), 2, FALSE), """")"),96.83)</f>
        <v>96.83</v>
      </c>
      <c r="G34" s="18">
        <f>IFERROR(__xludf.DUMMYFUNCTION("IFERROR(VLOOKUP($A34, GOOGLEFINANCE(G$1, ""price"", $A$2, TODAY()), 2, FALSE), """")"),144.6)</f>
        <v>144.6</v>
      </c>
      <c r="H34" s="18">
        <f>IFERROR(__xludf.DUMMYFUNCTION("IFERROR(VLOOKUP($A34, GOOGLEFINANCE(H$1, ""price"", $A$2, TODAY()), 2, FALSE), """")"),79.7)</f>
        <v>79.7</v>
      </c>
      <c r="I34" s="18">
        <f>IFERROR(__xludf.DUMMYFUNCTION("IFERROR(VLOOKUP($A34, GOOGLEFINANCE(I$1, ""price"", $A$2, TODAY()), 2, FALSE), """")"),130.11)</f>
        <v>130.11</v>
      </c>
      <c r="J34" s="18">
        <f>IFERROR(__xludf.DUMMYFUNCTION("IFERROR(VLOOKUP($A34, GOOGLEFINANCE(J$1, ""price"", $A$2, TODAY()), 2, FALSE), """")"),43.89)</f>
        <v>43.89</v>
      </c>
      <c r="K34" s="18">
        <f>IFERROR(__xludf.DUMMYFUNCTION("IFERROR(VLOOKUP($A34, GOOGLEFINANCE(K$1, ""price"", $A$2, TODAY()), 2, FALSE), """")"),42.47)</f>
        <v>42.47</v>
      </c>
      <c r="L34" s="18">
        <f>IFERROR(__xludf.DUMMYFUNCTION("IFERROR(VLOOKUP($A34, GOOGLEFINANCE(L$1, ""price"", $A$2, TODAY()), 2, FALSE), """")"),38.59)</f>
        <v>38.59</v>
      </c>
      <c r="M34" s="196">
        <f>IFERROR(__xludf.DUMMYFUNCTION("IFERROR(VLOOKUP($A34, GOOGLEFINANCE(M$1, ""price"", $A$2, TODAY()), 2, FALSE), """")"),41.47)</f>
        <v>41.47</v>
      </c>
      <c r="O34" s="18">
        <v>0.18938214611627033</v>
      </c>
      <c r="P34" s="18">
        <v>0.1767316191600909</v>
      </c>
      <c r="Q34" s="18">
        <v>0.08531501064648309</v>
      </c>
      <c r="R34" s="18">
        <v>0.17326032887791437</v>
      </c>
      <c r="S34" s="18">
        <v>0.25873637876429223</v>
      </c>
      <c r="T34" s="18">
        <v>0.1426091935512731</v>
      </c>
      <c r="U34" s="18">
        <v>0.23280906114123143</v>
      </c>
      <c r="V34" s="18">
        <v>0.0785334693220248</v>
      </c>
      <c r="W34" s="18">
        <v>0.07599262798146258</v>
      </c>
      <c r="X34" s="18">
        <v>0.06905004741710953</v>
      </c>
      <c r="Y34" s="196">
        <v>0.07420330309374273</v>
      </c>
      <c r="AA34" s="18">
        <v>-5.183647224977772E-4</v>
      </c>
      <c r="AB34" s="18">
        <v>0.01642635812049842</v>
      </c>
      <c r="AC34" s="18">
        <v>-0.023911600001211397</v>
      </c>
      <c r="AD34" s="18">
        <v>0.012479446847311504</v>
      </c>
      <c r="AE34" s="18">
        <v>-0.0012444698571122403</v>
      </c>
      <c r="AF34" s="18">
        <v>0.01414359797784992</v>
      </c>
      <c r="AG34" s="18">
        <v>-0.011950887936641563</v>
      </c>
      <c r="AH34" s="18">
        <v>-0.040528081503663715</v>
      </c>
      <c r="AI34" s="18">
        <v>-0.011520662680576277</v>
      </c>
      <c r="AJ34" s="18">
        <v>-0.007845112955020772</v>
      </c>
      <c r="AK34" s="18">
        <v>0.0026904761390116327</v>
      </c>
    </row>
    <row r="35">
      <c r="A35" s="230">
        <f>IFERROR(__xludf.DUMMYFUNCTION("""COMPUTED_VALUE"""),45729.66666666667)</f>
        <v>45729.66667</v>
      </c>
      <c r="B35" s="18">
        <f>IFERROR(__xludf.DUMMYFUNCTION("""COMPUTED_VALUE"""),551.42)</f>
        <v>551.42</v>
      </c>
      <c r="C35" s="18">
        <f>IFERROR(__xludf.DUMMYFUNCTION("IFERROR(VLOOKUP($A35, GOOGLEFINANCE(C$1, ""price"", $A$2, TODAY()), 2, FALSE), """")"),103.83)</f>
        <v>103.83</v>
      </c>
      <c r="D35" s="18">
        <f>IFERROR(__xludf.DUMMYFUNCTION("IFERROR(VLOOKUP($A35, GOOGLEFINANCE(D$1, ""price"", $A$2, TODAY()), 2, FALSE), """")"),96.3)</f>
        <v>96.3</v>
      </c>
      <c r="E35" s="18">
        <f>IFERROR(__xludf.DUMMYFUNCTION("IFERROR(VLOOKUP($A35, GOOGLEFINANCE(E$1, ""price"", $A$2, TODAY()), 2, FALSE), """")"),47.42)</f>
        <v>47.42</v>
      </c>
      <c r="F35" s="18">
        <f>IFERROR(__xludf.DUMMYFUNCTION("IFERROR(VLOOKUP($A35, GOOGLEFINANCE(F$1, ""price"", $A$2, TODAY()), 2, FALSE), """")"),94.84)</f>
        <v>94.84</v>
      </c>
      <c r="G35" s="18">
        <f>IFERROR(__xludf.DUMMYFUNCTION("IFERROR(VLOOKUP($A35, GOOGLEFINANCE(G$1, ""price"", $A$2, TODAY()), 2, FALSE), """")"),143.83)</f>
        <v>143.83</v>
      </c>
      <c r="H35" s="18">
        <f>IFERROR(__xludf.DUMMYFUNCTION("IFERROR(VLOOKUP($A35, GOOGLEFINANCE(H$1, ""price"", $A$2, TODAY()), 2, FALSE), """")"),79.33)</f>
        <v>79.33</v>
      </c>
      <c r="I35" s="18">
        <f>IFERROR(__xludf.DUMMYFUNCTION("IFERROR(VLOOKUP($A35, GOOGLEFINANCE(I$1, ""price"", $A$2, TODAY()), 2, FALSE), """")"),128.78)</f>
        <v>128.78</v>
      </c>
      <c r="J35" s="18">
        <f>IFERROR(__xludf.DUMMYFUNCTION("IFERROR(VLOOKUP($A35, GOOGLEFINANCE(J$1, ""price"", $A$2, TODAY()), 2, FALSE), """")"),43.59)</f>
        <v>43.59</v>
      </c>
      <c r="K35" s="18">
        <f>IFERROR(__xludf.DUMMYFUNCTION("IFERROR(VLOOKUP($A35, GOOGLEFINANCE(K$1, ""price"", $A$2, TODAY()), 2, FALSE), """")"),42.44)</f>
        <v>42.44</v>
      </c>
      <c r="L35" s="18">
        <f>IFERROR(__xludf.DUMMYFUNCTION("IFERROR(VLOOKUP($A35, GOOGLEFINANCE(L$1, ""price"", $A$2, TODAY()), 2, FALSE), """")"),38.68)</f>
        <v>38.68</v>
      </c>
      <c r="M35" s="196">
        <f>IFERROR(__xludf.DUMMYFUNCTION("IFERROR(VLOOKUP($A35, GOOGLEFINANCE(M$1, ""price"", $A$2, TODAY()), 2, FALSE), """")"),40.66)</f>
        <v>40.66</v>
      </c>
      <c r="O35" s="18">
        <v>0.1882956729897356</v>
      </c>
      <c r="P35" s="18">
        <v>0.17464002031119655</v>
      </c>
      <c r="Q35" s="18">
        <v>0.0859961553806536</v>
      </c>
      <c r="R35" s="18">
        <v>0.1719923107613072</v>
      </c>
      <c r="S35" s="18">
        <v>0.26083566065793773</v>
      </c>
      <c r="T35" s="18">
        <v>0.14386493054296182</v>
      </c>
      <c r="U35" s="18">
        <v>0.23354249029777666</v>
      </c>
      <c r="V35" s="18">
        <v>0.07905045156142325</v>
      </c>
      <c r="W35" s="18">
        <v>0.07696492691596242</v>
      </c>
      <c r="X35" s="18">
        <v>0.07014616807515144</v>
      </c>
      <c r="Y35" s="196">
        <v>0.07373689746472743</v>
      </c>
      <c r="AA35" s="18">
        <v>-0.0019746919208399882</v>
      </c>
      <c r="AB35" s="18">
        <v>0.00393600778467551</v>
      </c>
      <c r="AC35" s="18">
        <v>-0.020347181583283525</v>
      </c>
      <c r="AD35" s="18">
        <v>0.004336346679178149</v>
      </c>
      <c r="AE35" s="18">
        <v>0.0033328191650718875</v>
      </c>
      <c r="AF35" s="18">
        <v>0.02512827082585045</v>
      </c>
      <c r="AG35" s="18">
        <v>-0.006724256629890846</v>
      </c>
      <c r="AH35" s="18">
        <v>-0.04051856936103826</v>
      </c>
      <c r="AI35" s="18">
        <v>0.004451800639455161</v>
      </c>
      <c r="AJ35" s="18">
        <v>9.325406211804221E-4</v>
      </c>
      <c r="AK35" s="18">
        <v>-0.005308250302272999</v>
      </c>
    </row>
    <row r="36">
      <c r="A36" s="230">
        <f>IFERROR(__xludf.DUMMYFUNCTION("""COMPUTED_VALUE"""),45730.66666666667)</f>
        <v>45730.66667</v>
      </c>
      <c r="B36" s="18">
        <f>IFERROR(__xludf.DUMMYFUNCTION("""COMPUTED_VALUE"""),562.81)</f>
        <v>562.81</v>
      </c>
      <c r="C36" s="18">
        <f>IFERROR(__xludf.DUMMYFUNCTION("IFERROR(VLOOKUP($A36, GOOGLEFINANCE(C$1, ""price"", $A$2, TODAY()), 2, FALSE), """")"),106.97)</f>
        <v>106.97</v>
      </c>
      <c r="D36" s="18">
        <f>IFERROR(__xludf.DUMMYFUNCTION("IFERROR(VLOOKUP($A36, GOOGLEFINANCE(D$1, ""price"", $A$2, TODAY()), 2, FALSE), """")"),98.35)</f>
        <v>98.35</v>
      </c>
      <c r="E36" s="18">
        <f>IFERROR(__xludf.DUMMYFUNCTION("IFERROR(VLOOKUP($A36, GOOGLEFINANCE(E$1, ""price"", $A$2, TODAY()), 2, FALSE), """")"),48.52)</f>
        <v>48.52</v>
      </c>
      <c r="F36" s="18">
        <f>IFERROR(__xludf.DUMMYFUNCTION("IFERROR(VLOOKUP($A36, GOOGLEFINANCE(F$1, ""price"", $A$2, TODAY()), 2, FALSE), """")"),96.58)</f>
        <v>96.58</v>
      </c>
      <c r="G36" s="18">
        <f>IFERROR(__xludf.DUMMYFUNCTION("IFERROR(VLOOKUP($A36, GOOGLEFINANCE(G$1, ""price"", $A$2, TODAY()), 2, FALSE), """")"),144.93)</f>
        <v>144.93</v>
      </c>
      <c r="H36" s="18">
        <f>IFERROR(__xludf.DUMMYFUNCTION("IFERROR(VLOOKUP($A36, GOOGLEFINANCE(H$1, ""price"", $A$2, TODAY()), 2, FALSE), """")"),79.51)</f>
        <v>79.51</v>
      </c>
      <c r="I36" s="18">
        <f>IFERROR(__xludf.DUMMYFUNCTION("IFERROR(VLOOKUP($A36, GOOGLEFINANCE(I$1, ""price"", $A$2, TODAY()), 2, FALSE), """")"),131.13)</f>
        <v>131.13</v>
      </c>
      <c r="J36" s="18">
        <f>IFERROR(__xludf.DUMMYFUNCTION("IFERROR(VLOOKUP($A36, GOOGLEFINANCE(J$1, ""price"", $A$2, TODAY()), 2, FALSE), """")"),44.88)</f>
        <v>44.88</v>
      </c>
      <c r="K36" s="18">
        <f>IFERROR(__xludf.DUMMYFUNCTION("IFERROR(VLOOKUP($A36, GOOGLEFINANCE(K$1, ""price"", $A$2, TODAY()), 2, FALSE), """")"),42.99)</f>
        <v>42.99</v>
      </c>
      <c r="L36" s="18">
        <f>IFERROR(__xludf.DUMMYFUNCTION("IFERROR(VLOOKUP($A36, GOOGLEFINANCE(L$1, ""price"", $A$2, TODAY()), 2, FALSE), """")"),39.44)</f>
        <v>39.44</v>
      </c>
      <c r="M36" s="196">
        <f>IFERROR(__xludf.DUMMYFUNCTION("IFERROR(VLOOKUP($A36, GOOGLEFINANCE(M$1, ""price"", $A$2, TODAY()), 2, FALSE), """")"),41.45)</f>
        <v>41.45</v>
      </c>
      <c r="O36" s="18">
        <v>0.19006414242817293</v>
      </c>
      <c r="P36" s="18">
        <v>0.17474813880350384</v>
      </c>
      <c r="Q36" s="18">
        <v>0.08621026634210481</v>
      </c>
      <c r="R36" s="18">
        <v>0.1716032053446101</v>
      </c>
      <c r="S36" s="18">
        <v>0.257511415930776</v>
      </c>
      <c r="T36" s="18">
        <v>0.14127325385121092</v>
      </c>
      <c r="U36" s="18">
        <v>0.23299159574279066</v>
      </c>
      <c r="V36" s="18">
        <v>0.0797427195678826</v>
      </c>
      <c r="W36" s="18">
        <v>0.07638457028126723</v>
      </c>
      <c r="X36" s="18">
        <v>0.07007693537783621</v>
      </c>
      <c r="Y36" s="196">
        <v>0.07364830049217322</v>
      </c>
      <c r="AA36" s="18">
        <v>0.0019851845825478165</v>
      </c>
      <c r="AB36" s="18">
        <v>-0.001778027728146503</v>
      </c>
      <c r="AC36" s="18">
        <v>-0.016965911613015194</v>
      </c>
      <c r="AD36" s="18">
        <v>-0.0083936910834711</v>
      </c>
      <c r="AE36" s="18">
        <v>-0.00933636864502696</v>
      </c>
      <c r="AF36" s="18">
        <v>0.004352574146047505</v>
      </c>
      <c r="AG36" s="18">
        <v>-0.006407560173768756</v>
      </c>
      <c r="AH36" s="18">
        <v>-0.027814548597180466</v>
      </c>
      <c r="AI36" s="18">
        <v>0.004181117651028021</v>
      </c>
      <c r="AJ36" s="18">
        <v>0.0036056377448467902</v>
      </c>
      <c r="AK36" s="18">
        <v>6.304146368552033E-4</v>
      </c>
    </row>
    <row r="37">
      <c r="A37" s="230">
        <f>IFERROR(__xludf.DUMMYFUNCTION("""COMPUTED_VALUE"""),45733.66666666667)</f>
        <v>45733.66667</v>
      </c>
      <c r="B37" s="18">
        <f>IFERROR(__xludf.DUMMYFUNCTION("""COMPUTED_VALUE"""),567.15)</f>
        <v>567.15</v>
      </c>
      <c r="C37" s="18">
        <f>IFERROR(__xludf.DUMMYFUNCTION("IFERROR(VLOOKUP($A37, GOOGLEFINANCE(C$1, ""price"", $A$2, TODAY()), 2, FALSE), """")"),107.72)</f>
        <v>107.72</v>
      </c>
      <c r="D37" s="18">
        <f>IFERROR(__xludf.DUMMYFUNCTION("IFERROR(VLOOKUP($A37, GOOGLEFINANCE(D$1, ""price"", $A$2, TODAY()), 2, FALSE), """")"),98.51)</f>
        <v>98.51</v>
      </c>
      <c r="E37" s="18">
        <f>IFERROR(__xludf.DUMMYFUNCTION("IFERROR(VLOOKUP($A37, GOOGLEFINANCE(E$1, ""price"", $A$2, TODAY()), 2, FALSE), """")"),49.09)</f>
        <v>49.09</v>
      </c>
      <c r="F37" s="18">
        <f>IFERROR(__xludf.DUMMYFUNCTION("IFERROR(VLOOKUP($A37, GOOGLEFINANCE(F$1, ""price"", $A$2, TODAY()), 2, FALSE), """")"),97.27)</f>
        <v>97.27</v>
      </c>
      <c r="G37" s="18">
        <f>IFERROR(__xludf.DUMMYFUNCTION("IFERROR(VLOOKUP($A37, GOOGLEFINANCE(G$1, ""price"", $A$2, TODAY()), 2, FALSE), """")"),146.77)</f>
        <v>146.77</v>
      </c>
      <c r="H37" s="18">
        <f>IFERROR(__xludf.DUMMYFUNCTION("IFERROR(VLOOKUP($A37, GOOGLEFINANCE(H$1, ""price"", $A$2, TODAY()), 2, FALSE), """")"),80.67)</f>
        <v>80.67</v>
      </c>
      <c r="I37" s="18">
        <f>IFERROR(__xludf.DUMMYFUNCTION("IFERROR(VLOOKUP($A37, GOOGLEFINANCE(I$1, ""price"", $A$2, TODAY()), 2, FALSE), """")"),132.94)</f>
        <v>132.94</v>
      </c>
      <c r="J37" s="18">
        <f>IFERROR(__xludf.DUMMYFUNCTION("IFERROR(VLOOKUP($A37, GOOGLEFINANCE(J$1, ""price"", $A$2, TODAY()), 2, FALSE), """")"),45.6)</f>
        <v>45.6</v>
      </c>
      <c r="K37" s="18">
        <f>IFERROR(__xludf.DUMMYFUNCTION("IFERROR(VLOOKUP($A37, GOOGLEFINANCE(K$1, ""price"", $A$2, TODAY()), 2, FALSE), """")"),43.53)</f>
        <v>43.53</v>
      </c>
      <c r="L37" s="18">
        <f>IFERROR(__xludf.DUMMYFUNCTION("IFERROR(VLOOKUP($A37, GOOGLEFINANCE(L$1, ""price"", $A$2, TODAY()), 2, FALSE), """")"),39.6)</f>
        <v>39.6</v>
      </c>
      <c r="M37" s="196">
        <f>IFERROR(__xludf.DUMMYFUNCTION("IFERROR(VLOOKUP($A37, GOOGLEFINANCE(M$1, ""price"", $A$2, TODAY()), 2, FALSE), """")"),42.18)</f>
        <v>42.18</v>
      </c>
      <c r="O37" s="18">
        <v>0.18993211672397073</v>
      </c>
      <c r="P37" s="18">
        <v>0.17369302653618973</v>
      </c>
      <c r="Q37" s="18">
        <v>0.08655558494225514</v>
      </c>
      <c r="R37" s="18">
        <v>0.17150665608745483</v>
      </c>
      <c r="S37" s="18">
        <v>0.25878515383937234</v>
      </c>
      <c r="T37" s="18">
        <v>0.1422375033060037</v>
      </c>
      <c r="U37" s="18">
        <v>0.23440007052807899</v>
      </c>
      <c r="V37" s="18">
        <v>0.08040201005025126</v>
      </c>
      <c r="W37" s="18">
        <v>0.07675218196244381</v>
      </c>
      <c r="X37" s="18">
        <v>0.06982279820153399</v>
      </c>
      <c r="Y37" s="196">
        <v>0.07437185929648242</v>
      </c>
      <c r="AA37" s="18">
        <v>0.001987038861396284</v>
      </c>
      <c r="AB37" s="18">
        <v>-0.02385029198339894</v>
      </c>
      <c r="AC37" s="18">
        <v>-0.009175868322037206</v>
      </c>
      <c r="AD37" s="18">
        <v>-0.002345312324591342</v>
      </c>
      <c r="AE37" s="18">
        <v>0.00960503646691735</v>
      </c>
      <c r="AF37" s="18">
        <v>0.028409394180234582</v>
      </c>
      <c r="AG37" s="18">
        <v>0.002043283109387062</v>
      </c>
      <c r="AH37" s="18">
        <v>-0.005875814567128157</v>
      </c>
      <c r="AI37" s="18">
        <v>0.01830119299745192</v>
      </c>
      <c r="AJ37" s="18">
        <v>0.025425223625905158</v>
      </c>
      <c r="AK37" s="18">
        <v>0.020932496052717076</v>
      </c>
    </row>
    <row r="38">
      <c r="A38" s="230">
        <f>IFERROR(__xludf.DUMMYFUNCTION("""COMPUTED_VALUE"""),45734.66666666667)</f>
        <v>45734.66667</v>
      </c>
      <c r="B38" s="18">
        <f>IFERROR(__xludf.DUMMYFUNCTION("""COMPUTED_VALUE"""),561.02)</f>
        <v>561.02</v>
      </c>
      <c r="C38" s="18">
        <f>IFERROR(__xludf.DUMMYFUNCTION("IFERROR(VLOOKUP($A38, GOOGLEFINANCE(C$1, ""price"", $A$2, TODAY()), 2, FALSE), """")"),106.08)</f>
        <v>106.08</v>
      </c>
      <c r="D38" s="18">
        <f>IFERROR(__xludf.DUMMYFUNCTION("IFERROR(VLOOKUP($A38, GOOGLEFINANCE(D$1, ""price"", $A$2, TODAY()), 2, FALSE), """")"),96.75)</f>
        <v>96.75</v>
      </c>
      <c r="E38" s="18">
        <f>IFERROR(__xludf.DUMMYFUNCTION("IFERROR(VLOOKUP($A38, GOOGLEFINANCE(E$1, ""price"", $A$2, TODAY()), 2, FALSE), """")"),49.03)</f>
        <v>49.03</v>
      </c>
      <c r="F38" s="18">
        <f>IFERROR(__xludf.DUMMYFUNCTION("IFERROR(VLOOKUP($A38, GOOGLEFINANCE(F$1, ""price"", $A$2, TODAY()), 2, FALSE), """")"),95.91)</f>
        <v>95.91</v>
      </c>
      <c r="G38" s="18">
        <f>IFERROR(__xludf.DUMMYFUNCTION("IFERROR(VLOOKUP($A38, GOOGLEFINANCE(G$1, ""price"", $A$2, TODAY()), 2, FALSE), """")"),146.84)</f>
        <v>146.84</v>
      </c>
      <c r="H38" s="18">
        <f>IFERROR(__xludf.DUMMYFUNCTION("IFERROR(VLOOKUP($A38, GOOGLEFINANCE(H$1, ""price"", $A$2, TODAY()), 2, FALSE), """")"),79.75)</f>
        <v>79.75</v>
      </c>
      <c r="I38" s="18">
        <f>IFERROR(__xludf.DUMMYFUNCTION("IFERROR(VLOOKUP($A38, GOOGLEFINANCE(I$1, ""price"", $A$2, TODAY()), 2, FALSE), """")"),131.88)</f>
        <v>131.88</v>
      </c>
      <c r="J38" s="18">
        <f>IFERROR(__xludf.DUMMYFUNCTION("IFERROR(VLOOKUP($A38, GOOGLEFINANCE(J$1, ""price"", $A$2, TODAY()), 2, FALSE), """")"),45.67)</f>
        <v>45.67</v>
      </c>
      <c r="K38" s="18">
        <f>IFERROR(__xludf.DUMMYFUNCTION("IFERROR(VLOOKUP($A38, GOOGLEFINANCE(K$1, ""price"", $A$2, TODAY()), 2, FALSE), """")"),43.46)</f>
        <v>43.46</v>
      </c>
      <c r="L38" s="18">
        <f>IFERROR(__xludf.DUMMYFUNCTION("IFERROR(VLOOKUP($A38, GOOGLEFINANCE(L$1, ""price"", $A$2, TODAY()), 2, FALSE), """")"),39.33)</f>
        <v>39.33</v>
      </c>
      <c r="M38" s="196">
        <f>IFERROR(__xludf.DUMMYFUNCTION("IFERROR(VLOOKUP($A38, GOOGLEFINANCE(M$1, ""price"", $A$2, TODAY()), 2, FALSE), """")"),41.92)</f>
        <v>41.92</v>
      </c>
      <c r="O38" s="18">
        <v>0.18908416812234857</v>
      </c>
      <c r="P38" s="18">
        <v>0.1724537449645289</v>
      </c>
      <c r="Q38" s="18">
        <v>0.08739438879184343</v>
      </c>
      <c r="R38" s="18">
        <v>0.17095647214003065</v>
      </c>
      <c r="S38" s="18">
        <v>0.26173754946347727</v>
      </c>
      <c r="T38" s="18">
        <v>0.14215179494492175</v>
      </c>
      <c r="U38" s="18">
        <v>0.23507183344622296</v>
      </c>
      <c r="V38" s="18">
        <v>0.08140529749385049</v>
      </c>
      <c r="W38" s="18">
        <v>0.07746604399130157</v>
      </c>
      <c r="X38" s="18">
        <v>0.07010445260418523</v>
      </c>
      <c r="Y38" s="196">
        <v>0.0747210438130548</v>
      </c>
      <c r="AA38" s="18">
        <v>-0.003385460819869013</v>
      </c>
      <c r="AB38" s="18">
        <v>-0.036128282077624196</v>
      </c>
      <c r="AC38" s="18">
        <v>-0.0027369626382268697</v>
      </c>
      <c r="AD38" s="18">
        <v>-0.015623259378606758</v>
      </c>
      <c r="AE38" s="18">
        <v>0.03682446626456004</v>
      </c>
      <c r="AF38" s="18">
        <v>0.03968825519833086</v>
      </c>
      <c r="AG38" s="18">
        <v>0.005832681054081856</v>
      </c>
      <c r="AH38" s="18">
        <v>0.004836818871969406</v>
      </c>
      <c r="AI38" s="18">
        <v>0.030481037337827255</v>
      </c>
      <c r="AJ38" s="18">
        <v>0.04894197336464989</v>
      </c>
      <c r="AK38" s="18">
        <v>0.040633394788492705</v>
      </c>
    </row>
    <row r="39">
      <c r="A39" s="230">
        <f>IFERROR(__xludf.DUMMYFUNCTION("""COMPUTED_VALUE"""),45735.66666666667)</f>
        <v>45735.66667</v>
      </c>
      <c r="B39" s="18">
        <f>IFERROR(__xludf.DUMMYFUNCTION("""COMPUTED_VALUE"""),567.13)</f>
        <v>567.13</v>
      </c>
      <c r="C39" s="18">
        <f>IFERROR(__xludf.DUMMYFUNCTION("IFERROR(VLOOKUP($A39, GOOGLEFINANCE(C$1, ""price"", $A$2, TODAY()), 2, FALSE), """")"),107.46)</f>
        <v>107.46</v>
      </c>
      <c r="D39" s="18">
        <f>IFERROR(__xludf.DUMMYFUNCTION("IFERROR(VLOOKUP($A39, GOOGLEFINANCE(D$1, ""price"", $A$2, TODAY()), 2, FALSE), """")"),98.61)</f>
        <v>98.61</v>
      </c>
      <c r="E39" s="18">
        <f>IFERROR(__xludf.DUMMYFUNCTION("IFERROR(VLOOKUP($A39, GOOGLEFINANCE(E$1, ""price"", $A$2, TODAY()), 2, FALSE), """")"),49.57)</f>
        <v>49.57</v>
      </c>
      <c r="F39" s="18">
        <f>IFERROR(__xludf.DUMMYFUNCTION("IFERROR(VLOOKUP($A39, GOOGLEFINANCE(F$1, ""price"", $A$2, TODAY()), 2, FALSE), """")"),97.05)</f>
        <v>97.05</v>
      </c>
      <c r="G39" s="18">
        <f>IFERROR(__xludf.DUMMYFUNCTION("IFERROR(VLOOKUP($A39, GOOGLEFINANCE(G$1, ""price"", $A$2, TODAY()), 2, FALSE), """")"),146.92)</f>
        <v>146.92</v>
      </c>
      <c r="H39" s="18">
        <f>IFERROR(__xludf.DUMMYFUNCTION("IFERROR(VLOOKUP($A39, GOOGLEFINANCE(H$1, ""price"", $A$2, TODAY()), 2, FALSE), """")"),79.75)</f>
        <v>79.75</v>
      </c>
      <c r="I39" s="18">
        <f>IFERROR(__xludf.DUMMYFUNCTION("IFERROR(VLOOKUP($A39, GOOGLEFINANCE(I$1, ""price"", $A$2, TODAY()), 2, FALSE), """")"),133.63)</f>
        <v>133.63</v>
      </c>
      <c r="J39" s="18">
        <f>IFERROR(__xludf.DUMMYFUNCTION("IFERROR(VLOOKUP($A39, GOOGLEFINANCE(J$1, ""price"", $A$2, TODAY()), 2, FALSE), """")"),46.42)</f>
        <v>46.42</v>
      </c>
      <c r="K39" s="18">
        <f>IFERROR(__xludf.DUMMYFUNCTION("IFERROR(VLOOKUP($A39, GOOGLEFINANCE(K$1, ""price"", $A$2, TODAY()), 2, FALSE), """")"),43.6)</f>
        <v>43.6</v>
      </c>
      <c r="L39" s="18">
        <f>IFERROR(__xludf.DUMMYFUNCTION("IFERROR(VLOOKUP($A39, GOOGLEFINANCE(L$1, ""price"", $A$2, TODAY()), 2, FALSE), """")"),39.47)</f>
        <v>39.47</v>
      </c>
      <c r="M39" s="196">
        <f>IFERROR(__xludf.DUMMYFUNCTION("IFERROR(VLOOKUP($A39, GOOGLEFINANCE(M$1, ""price"", $A$2, TODAY()), 2, FALSE), """")"),41.97)</f>
        <v>41.97</v>
      </c>
      <c r="O39" s="18">
        <v>0.1894803660536385</v>
      </c>
      <c r="P39" s="18">
        <v>0.17387547828540192</v>
      </c>
      <c r="Q39" s="18">
        <v>0.08740500414367076</v>
      </c>
      <c r="R39" s="18">
        <v>0.17112478620422125</v>
      </c>
      <c r="S39" s="18">
        <v>0.2590587695942729</v>
      </c>
      <c r="T39" s="18">
        <v>0.14062031632958932</v>
      </c>
      <c r="U39" s="18">
        <v>0.23562498897959902</v>
      </c>
      <c r="V39" s="18">
        <v>0.08185072205667131</v>
      </c>
      <c r="W39" s="18">
        <v>0.07687831714069085</v>
      </c>
      <c r="X39" s="18">
        <v>0.06959603618218045</v>
      </c>
      <c r="Y39" s="196">
        <v>0.07400419656868795</v>
      </c>
      <c r="AA39" s="18">
        <v>0.00933709325874399</v>
      </c>
      <c r="AB39" s="18">
        <v>-0.02712204095358517</v>
      </c>
      <c r="AC39" s="18">
        <v>-0.011582909585326817</v>
      </c>
      <c r="AD39" s="18">
        <v>-0.01806597852600511</v>
      </c>
      <c r="AE39" s="18">
        <v>0.01767462901483774</v>
      </c>
      <c r="AF39" s="18">
        <v>6.921860055217888E-4</v>
      </c>
      <c r="AG39" s="18">
        <v>0.0027994946400464737</v>
      </c>
      <c r="AH39" s="18">
        <v>-0.00747489754312769</v>
      </c>
      <c r="AI39" s="18">
        <v>0.008588886548809738</v>
      </c>
      <c r="AJ39" s="18">
        <v>0.02199406541389437</v>
      </c>
      <c r="AK39" s="18">
        <v>0.01319639121093874</v>
      </c>
    </row>
    <row r="40">
      <c r="A40" s="230">
        <f>IFERROR(__xludf.DUMMYFUNCTION("""COMPUTED_VALUE"""),45736.66666666667)</f>
        <v>45736.66667</v>
      </c>
      <c r="B40" s="18">
        <f>IFERROR(__xludf.DUMMYFUNCTION("""COMPUTED_VALUE"""),565.49)</f>
        <v>565.49</v>
      </c>
      <c r="C40" s="18">
        <f>IFERROR(__xludf.DUMMYFUNCTION("IFERROR(VLOOKUP($A40, GOOGLEFINANCE(C$1, ""price"", $A$2, TODAY()), 2, FALSE), """")"),106.69)</f>
        <v>106.69</v>
      </c>
      <c r="D40" s="18">
        <f>IFERROR(__xludf.DUMMYFUNCTION("IFERROR(VLOOKUP($A40, GOOGLEFINANCE(D$1, ""price"", $A$2, TODAY()), 2, FALSE), """")"),98.37)</f>
        <v>98.37</v>
      </c>
      <c r="E40" s="18">
        <f>IFERROR(__xludf.DUMMYFUNCTION("IFERROR(VLOOKUP($A40, GOOGLEFINANCE(E$1, ""price"", $A$2, TODAY()), 2, FALSE), """")"),49.64)</f>
        <v>49.64</v>
      </c>
      <c r="F40" s="18">
        <f>IFERROR(__xludf.DUMMYFUNCTION("IFERROR(VLOOKUP($A40, GOOGLEFINANCE(F$1, ""price"", $A$2, TODAY()), 2, FALSE), """")"),96.84)</f>
        <v>96.84</v>
      </c>
      <c r="G40" s="18">
        <f>IFERROR(__xludf.DUMMYFUNCTION("IFERROR(VLOOKUP($A40, GOOGLEFINANCE(G$1, ""price"", $A$2, TODAY()), 2, FALSE), """")"),147.01)</f>
        <v>147.01</v>
      </c>
      <c r="H40" s="18">
        <f>IFERROR(__xludf.DUMMYFUNCTION("IFERROR(VLOOKUP($A40, GOOGLEFINANCE(H$1, ""price"", $A$2, TODAY()), 2, FALSE), """")"),79.36)</f>
        <v>79.36</v>
      </c>
      <c r="I40" s="18">
        <f>IFERROR(__xludf.DUMMYFUNCTION("IFERROR(VLOOKUP($A40, GOOGLEFINANCE(I$1, ""price"", $A$2, TODAY()), 2, FALSE), """")"),132.96)</f>
        <v>132.96</v>
      </c>
      <c r="J40" s="18">
        <f>IFERROR(__xludf.DUMMYFUNCTION("IFERROR(VLOOKUP($A40, GOOGLEFINANCE(J$1, ""price"", $A$2, TODAY()), 2, FALSE), """")"),46.59)</f>
        <v>46.59</v>
      </c>
      <c r="K40" s="18">
        <f>IFERROR(__xludf.DUMMYFUNCTION("IFERROR(VLOOKUP($A40, GOOGLEFINANCE(K$1, ""price"", $A$2, TODAY()), 2, FALSE), """")"),43.33)</f>
        <v>43.33</v>
      </c>
      <c r="L40" s="18">
        <f>IFERROR(__xludf.DUMMYFUNCTION("IFERROR(VLOOKUP($A40, GOOGLEFINANCE(L$1, ""price"", $A$2, TODAY()), 2, FALSE), """")"),39.63)</f>
        <v>39.63</v>
      </c>
      <c r="M40" s="196">
        <f>IFERROR(__xludf.DUMMYFUNCTION("IFERROR(VLOOKUP($A40, GOOGLEFINANCE(M$1, ""price"", $A$2, TODAY()), 2, FALSE), """")"),41.92)</f>
        <v>41.92</v>
      </c>
      <c r="O40" s="18">
        <v>0.1886682346283754</v>
      </c>
      <c r="P40" s="18">
        <v>0.17395533077508002</v>
      </c>
      <c r="Q40" s="18">
        <v>0.0877822773170171</v>
      </c>
      <c r="R40" s="18">
        <v>0.17124971263859662</v>
      </c>
      <c r="S40" s="18">
        <v>0.2599692302251145</v>
      </c>
      <c r="T40" s="18">
        <v>0.14033846752374046</v>
      </c>
      <c r="U40" s="18">
        <v>0.23512352119400876</v>
      </c>
      <c r="V40" s="18">
        <v>0.08238872482272012</v>
      </c>
      <c r="W40" s="18">
        <v>0.07662381297635679</v>
      </c>
      <c r="X40" s="18">
        <v>0.07008081486852111</v>
      </c>
      <c r="Y40" s="196">
        <v>0.0741304001839113</v>
      </c>
      <c r="AA40" s="18">
        <v>0.01162994036553644</v>
      </c>
      <c r="AB40" s="18">
        <v>-0.02983291723119219</v>
      </c>
      <c r="AC40" s="18">
        <v>-0.00797979631458623</v>
      </c>
      <c r="AD40" s="18">
        <v>-0.015587561651339343</v>
      </c>
      <c r="AE40" s="18">
        <v>0.01692316393776605</v>
      </c>
      <c r="AF40" s="18">
        <v>-0.015182054654587884</v>
      </c>
      <c r="AG40" s="18">
        <v>0.003339953335077972</v>
      </c>
      <c r="AH40" s="18">
        <v>0.006050776754266574</v>
      </c>
      <c r="AI40" s="18">
        <v>0.003043210125401874</v>
      </c>
      <c r="AJ40" s="18">
        <v>0.026645014095607156</v>
      </c>
      <c r="AK40" s="18">
        <v>0.014672153905199714</v>
      </c>
    </row>
    <row r="41">
      <c r="A41" s="230">
        <f>IFERROR(__xludf.DUMMYFUNCTION("""COMPUTED_VALUE"""),45737.66666666667)</f>
        <v>45737.66667</v>
      </c>
      <c r="B41" s="18">
        <f>IFERROR(__xludf.DUMMYFUNCTION("""COMPUTED_VALUE"""),563.98)</f>
        <v>563.98</v>
      </c>
      <c r="C41" s="18">
        <f>IFERROR(__xludf.DUMMYFUNCTION("IFERROR(VLOOKUP($A41, GOOGLEFINANCE(C$1, ""price"", $A$2, TODAY()), 2, FALSE), """")"),106.98)</f>
        <v>106.98</v>
      </c>
      <c r="D41" s="18">
        <f>IFERROR(__xludf.DUMMYFUNCTION("IFERROR(VLOOKUP($A41, GOOGLEFINANCE(D$1, ""price"", $A$2, TODAY()), 2, FALSE), """")"),98.73)</f>
        <v>98.73</v>
      </c>
      <c r="E41" s="18">
        <f>IFERROR(__xludf.DUMMYFUNCTION("IFERROR(VLOOKUP($A41, GOOGLEFINANCE(E$1, ""price"", $A$2, TODAY()), 2, FALSE), """")"),49.46)</f>
        <v>49.46</v>
      </c>
      <c r="F41" s="18">
        <f>IFERROR(__xludf.DUMMYFUNCTION("IFERROR(VLOOKUP($A41, GOOGLEFINANCE(F$1, ""price"", $A$2, TODAY()), 2, FALSE), """")"),97.6)</f>
        <v>97.6</v>
      </c>
      <c r="G41" s="18">
        <f>IFERROR(__xludf.DUMMYFUNCTION("IFERROR(VLOOKUP($A41, GOOGLEFINANCE(G$1, ""price"", $A$2, TODAY()), 2, FALSE), """")"),146.6)</f>
        <v>146.6</v>
      </c>
      <c r="H41" s="18">
        <f>IFERROR(__xludf.DUMMYFUNCTION("IFERROR(VLOOKUP($A41, GOOGLEFINANCE(H$1, ""price"", $A$2, TODAY()), 2, FALSE), """")"),79.33)</f>
        <v>79.33</v>
      </c>
      <c r="I41" s="18">
        <f>IFERROR(__xludf.DUMMYFUNCTION("IFERROR(VLOOKUP($A41, GOOGLEFINANCE(I$1, ""price"", $A$2, TODAY()), 2, FALSE), """")"),132.25)</f>
        <v>132.25</v>
      </c>
      <c r="J41" s="18">
        <f>IFERROR(__xludf.DUMMYFUNCTION("IFERROR(VLOOKUP($A41, GOOGLEFINANCE(J$1, ""price"", $A$2, TODAY()), 2, FALSE), """")"),46.26)</f>
        <v>46.26</v>
      </c>
      <c r="K41" s="18">
        <f>IFERROR(__xludf.DUMMYFUNCTION("IFERROR(VLOOKUP($A41, GOOGLEFINANCE(K$1, ""price"", $A$2, TODAY()), 2, FALSE), """")"),42.9)</f>
        <v>42.9</v>
      </c>
      <c r="L41" s="18">
        <f>IFERROR(__xludf.DUMMYFUNCTION("IFERROR(VLOOKUP($A41, GOOGLEFINANCE(L$1, ""price"", $A$2, TODAY()), 2, FALSE), """")"),39.38)</f>
        <v>39.38</v>
      </c>
      <c r="M41" s="196">
        <f>IFERROR(__xludf.DUMMYFUNCTION("IFERROR(VLOOKUP($A41, GOOGLEFINANCE(M$1, ""price"", $A$2, TODAY()), 2, FALSE), """")"),41.51)</f>
        <v>41.51</v>
      </c>
      <c r="O41" s="18">
        <v>0.18968757757367283</v>
      </c>
      <c r="P41" s="18">
        <v>0.17505939926947764</v>
      </c>
      <c r="Q41" s="18">
        <v>0.08769814532430228</v>
      </c>
      <c r="R41" s="18">
        <v>0.1730557821199333</v>
      </c>
      <c r="S41" s="18">
        <v>0.2599382956842441</v>
      </c>
      <c r="T41" s="18">
        <v>0.14066101634809744</v>
      </c>
      <c r="U41" s="18">
        <v>0.2344941309975531</v>
      </c>
      <c r="V41" s="18">
        <v>0.08202418525479627</v>
      </c>
      <c r="W41" s="18">
        <v>0.07606652718181495</v>
      </c>
      <c r="X41" s="18">
        <v>0.06982517110535835</v>
      </c>
      <c r="Y41" s="196">
        <v>0.07360190077662328</v>
      </c>
      <c r="AA41" s="18">
        <v>0.02143424124999549</v>
      </c>
      <c r="AB41" s="18">
        <v>-0.012652194497787872</v>
      </c>
      <c r="AC41" s="18">
        <v>-0.00974697356427956</v>
      </c>
      <c r="AD41" s="18">
        <v>0.0043887183284119224</v>
      </c>
      <c r="AE41" s="18">
        <v>-5.7214655475335E-4</v>
      </c>
      <c r="AF41" s="18">
        <v>-0.02798532093043371</v>
      </c>
      <c r="AG41" s="18">
        <v>0.0011449007306980619</v>
      </c>
      <c r="AH41" s="18">
        <v>-0.013899636982256824</v>
      </c>
      <c r="AI41" s="18">
        <v>-0.006180895982899504</v>
      </c>
      <c r="AJ41" s="18">
        <v>-0.004897292218429938</v>
      </c>
      <c r="AK41" s="18">
        <v>-0.012373045507401703</v>
      </c>
    </row>
    <row r="42">
      <c r="A42" s="230">
        <f>IFERROR(__xludf.DUMMYFUNCTION("""COMPUTED_VALUE"""),45740.66666666667)</f>
        <v>45740.66667</v>
      </c>
      <c r="B42" s="18">
        <f>IFERROR(__xludf.DUMMYFUNCTION("""COMPUTED_VALUE"""),574.08)</f>
        <v>574.08</v>
      </c>
      <c r="C42" s="18">
        <f>IFERROR(__xludf.DUMMYFUNCTION("IFERROR(VLOOKUP($A42, GOOGLEFINANCE(C$1, ""price"", $A$2, TODAY()), 2, FALSE), """")"),108.82)</f>
        <v>108.82</v>
      </c>
      <c r="D42" s="18">
        <f>IFERROR(__xludf.DUMMYFUNCTION("IFERROR(VLOOKUP($A42, GOOGLEFINANCE(D$1, ""price"", $A$2, TODAY()), 2, FALSE), """")"),102.15)</f>
        <v>102.15</v>
      </c>
      <c r="E42" s="18">
        <f>IFERROR(__xludf.DUMMYFUNCTION("IFERROR(VLOOKUP($A42, GOOGLEFINANCE(E$1, ""price"", $A$2, TODAY()), 2, FALSE), """")"),50.15)</f>
        <v>50.15</v>
      </c>
      <c r="F42" s="18">
        <f>IFERROR(__xludf.DUMMYFUNCTION("IFERROR(VLOOKUP($A42, GOOGLEFINANCE(F$1, ""price"", $A$2, TODAY()), 2, FALSE), """")"),98.69)</f>
        <v>98.69</v>
      </c>
      <c r="G42" s="18">
        <f>IFERROR(__xludf.DUMMYFUNCTION("IFERROR(VLOOKUP($A42, GOOGLEFINANCE(G$1, ""price"", $A$2, TODAY()), 2, FALSE), """")"),147.15)</f>
        <v>147.15</v>
      </c>
      <c r="H42" s="18">
        <f>IFERROR(__xludf.DUMMYFUNCTION("IFERROR(VLOOKUP($A42, GOOGLEFINANCE(H$1, ""price"", $A$2, TODAY()), 2, FALSE), """")"),79.4)</f>
        <v>79.4</v>
      </c>
      <c r="I42" s="18">
        <f>IFERROR(__xludf.DUMMYFUNCTION("IFERROR(VLOOKUP($A42, GOOGLEFINANCE(I$1, ""price"", $A$2, TODAY()), 2, FALSE), """")"),134.29)</f>
        <v>134.29</v>
      </c>
      <c r="J42" s="18">
        <f>IFERROR(__xludf.DUMMYFUNCTION("IFERROR(VLOOKUP($A42, GOOGLEFINANCE(J$1, ""price"", $A$2, TODAY()), 2, FALSE), """")"),46.43)</f>
        <v>46.43</v>
      </c>
      <c r="K42" s="18">
        <f>IFERROR(__xludf.DUMMYFUNCTION("IFERROR(VLOOKUP($A42, GOOGLEFINANCE(K$1, ""price"", $A$2, TODAY()), 2, FALSE), """")"),43.27)</f>
        <v>43.27</v>
      </c>
      <c r="L42" s="18">
        <f>IFERROR(__xludf.DUMMYFUNCTION("IFERROR(VLOOKUP($A42, GOOGLEFINANCE(L$1, ""price"", $A$2, TODAY()), 2, FALSE), """")"),39.09)</f>
        <v>39.09</v>
      </c>
      <c r="M42" s="196">
        <f>IFERROR(__xludf.DUMMYFUNCTION("IFERROR(VLOOKUP($A42, GOOGLEFINANCE(M$1, ""price"", $A$2, TODAY()), 2, FALSE), """")"),41.82)</f>
        <v>41.82</v>
      </c>
      <c r="O42" s="18">
        <v>0.1895554626532887</v>
      </c>
      <c r="P42" s="18">
        <v>0.177936872909699</v>
      </c>
      <c r="Q42" s="18">
        <v>0.08735716276477146</v>
      </c>
      <c r="R42" s="18">
        <v>0.17190983835005572</v>
      </c>
      <c r="S42" s="18">
        <v>0.25632316053511706</v>
      </c>
      <c r="T42" s="18">
        <v>0.13830824972129319</v>
      </c>
      <c r="U42" s="18">
        <v>0.23392210144927533</v>
      </c>
      <c r="V42" s="18">
        <v>0.08087722965440357</v>
      </c>
      <c r="W42" s="18">
        <v>0.07537277034559643</v>
      </c>
      <c r="X42" s="18">
        <v>0.0680915551839465</v>
      </c>
      <c r="Y42" s="196">
        <v>0.07284698996655518</v>
      </c>
      <c r="AA42" s="18">
        <v>0.027077007493444105</v>
      </c>
      <c r="AB42" s="18">
        <v>0.008164765896450099</v>
      </c>
      <c r="AC42" s="18">
        <v>-0.018937496908542406</v>
      </c>
      <c r="AD42" s="18">
        <v>-0.002958585021900828</v>
      </c>
      <c r="AE42" s="18">
        <v>-0.017980872736530706</v>
      </c>
      <c r="AF42" s="18">
        <v>-0.05267231772261316</v>
      </c>
      <c r="AG42" s="18">
        <v>-0.0016503827747758049</v>
      </c>
      <c r="AH42" s="18">
        <v>-0.03184435060182289</v>
      </c>
      <c r="AI42" s="18">
        <v>-0.019242288820116693</v>
      </c>
      <c r="AJ42" s="18">
        <v>-0.03374593976793949</v>
      </c>
      <c r="AK42" s="18">
        <v>-0.026287270791127804</v>
      </c>
    </row>
    <row r="43">
      <c r="A43" s="230">
        <f>IFERROR(__xludf.DUMMYFUNCTION("""COMPUTED_VALUE"""),45741.66666666667)</f>
        <v>45741.66667</v>
      </c>
      <c r="B43" s="18">
        <f>IFERROR(__xludf.DUMMYFUNCTION("""COMPUTED_VALUE"""),575.46)</f>
        <v>575.46</v>
      </c>
      <c r="C43" s="18">
        <f>IFERROR(__xludf.DUMMYFUNCTION("IFERROR(VLOOKUP($A43, GOOGLEFINANCE(C$1, ""price"", $A$2, TODAY()), 2, FALSE), """")"),109.18)</f>
        <v>109.18</v>
      </c>
      <c r="D43" s="18">
        <f>IFERROR(__xludf.DUMMYFUNCTION("IFERROR(VLOOKUP($A43, GOOGLEFINANCE(D$1, ""price"", $A$2, TODAY()), 2, FALSE), """")"),102.96)</f>
        <v>102.96</v>
      </c>
      <c r="E43" s="18">
        <f>IFERROR(__xludf.DUMMYFUNCTION("IFERROR(VLOOKUP($A43, GOOGLEFINANCE(E$1, ""price"", $A$2, TODAY()), 2, FALSE), """")"),50.43)</f>
        <v>50.43</v>
      </c>
      <c r="F43" s="18">
        <f>IFERROR(__xludf.DUMMYFUNCTION("IFERROR(VLOOKUP($A43, GOOGLEFINANCE(F$1, ""price"", $A$2, TODAY()), 2, FALSE), """")"),99.94)</f>
        <v>99.94</v>
      </c>
      <c r="G43" s="18">
        <f>IFERROR(__xludf.DUMMYFUNCTION("IFERROR(VLOOKUP($A43, GOOGLEFINANCE(G$1, ""price"", $A$2, TODAY()), 2, FALSE), """")"),145.27)</f>
        <v>145.27</v>
      </c>
      <c r="H43" s="18">
        <f>IFERROR(__xludf.DUMMYFUNCTION("IFERROR(VLOOKUP($A43, GOOGLEFINANCE(H$1, ""price"", $A$2, TODAY()), 2, FALSE), """")"),78.68)</f>
        <v>78.68</v>
      </c>
      <c r="I43" s="18">
        <f>IFERROR(__xludf.DUMMYFUNCTION("IFERROR(VLOOKUP($A43, GOOGLEFINANCE(I$1, ""price"", $A$2, TODAY()), 2, FALSE), """")"),134.49)</f>
        <v>134.49</v>
      </c>
      <c r="J43" s="18">
        <f>IFERROR(__xludf.DUMMYFUNCTION("IFERROR(VLOOKUP($A43, GOOGLEFINANCE(J$1, ""price"", $A$2, TODAY()), 2, FALSE), """")"),46.62)</f>
        <v>46.62</v>
      </c>
      <c r="K43" s="18">
        <f>IFERROR(__xludf.DUMMYFUNCTION("IFERROR(VLOOKUP($A43, GOOGLEFINANCE(K$1, ""price"", $A$2, TODAY()), 2, FALSE), """")"),43.26)</f>
        <v>43.26</v>
      </c>
      <c r="L43" s="18">
        <f>IFERROR(__xludf.DUMMYFUNCTION("IFERROR(VLOOKUP($A43, GOOGLEFINANCE(L$1, ""price"", $A$2, TODAY()), 2, FALSE), """")"),38.46)</f>
        <v>38.46</v>
      </c>
      <c r="M43" s="196">
        <f>IFERROR(__xludf.DUMMYFUNCTION("IFERROR(VLOOKUP($A43, GOOGLEFINANCE(M$1, ""price"", $A$2, TODAY()), 2, FALSE), """")"),41.32)</f>
        <v>41.32</v>
      </c>
      <c r="O43" s="18">
        <v>0.18972647968581657</v>
      </c>
      <c r="P43" s="18">
        <v>0.17891773537691583</v>
      </c>
      <c r="Q43" s="18">
        <v>0.08763424043373996</v>
      </c>
      <c r="R43" s="18">
        <v>0.17366975984429847</v>
      </c>
      <c r="S43" s="18">
        <v>0.2524415250408369</v>
      </c>
      <c r="T43" s="18">
        <v>0.13672540228686617</v>
      </c>
      <c r="U43" s="18">
        <v>0.23370868522573246</v>
      </c>
      <c r="V43" s="18">
        <v>0.08101345010947762</v>
      </c>
      <c r="W43" s="18">
        <v>0.07517464289438014</v>
      </c>
      <c r="X43" s="18">
        <v>0.06683348972995516</v>
      </c>
      <c r="Y43" s="196">
        <v>0.07180342682375838</v>
      </c>
      <c r="AA43" s="18">
        <v>0.023373685666851385</v>
      </c>
      <c r="AB43" s="18">
        <v>0.006089434787374337</v>
      </c>
      <c r="AC43" s="18">
        <v>-0.011855681284118402</v>
      </c>
      <c r="AD43" s="18">
        <v>0.009465601283350056</v>
      </c>
      <c r="AE43" s="18">
        <v>-0.012054400012848743</v>
      </c>
      <c r="AF43" s="18">
        <v>-0.062246620358683113</v>
      </c>
      <c r="AG43" s="18">
        <v>-0.005359523927781384</v>
      </c>
      <c r="AH43" s="18">
        <v>-0.033061380682688046</v>
      </c>
      <c r="AI43" s="18">
        <v>-0.02269479896963089</v>
      </c>
      <c r="AJ43" s="18">
        <v>-0.05156633610389716</v>
      </c>
      <c r="AK43" s="18">
        <v>-0.03821470044594699</v>
      </c>
    </row>
    <row r="44">
      <c r="A44" s="230">
        <f>IFERROR(__xludf.DUMMYFUNCTION("""COMPUTED_VALUE"""),45742.66666666667)</f>
        <v>45742.66667</v>
      </c>
      <c r="B44" s="18">
        <f>IFERROR(__xludf.DUMMYFUNCTION("""COMPUTED_VALUE"""),568.59)</f>
        <v>568.59</v>
      </c>
      <c r="C44" s="18">
        <f>IFERROR(__xludf.DUMMYFUNCTION("IFERROR(VLOOKUP($A44, GOOGLEFINANCE(C$1, ""price"", $A$2, TODAY()), 2, FALSE), """")"),106.74)</f>
        <v>106.74</v>
      </c>
      <c r="D44" s="18">
        <f>IFERROR(__xludf.DUMMYFUNCTION("IFERROR(VLOOKUP($A44, GOOGLEFINANCE(D$1, ""price"", $A$2, TODAY()), 2, FALSE), """")"),101.62)</f>
        <v>101.62</v>
      </c>
      <c r="E44" s="18">
        <f>IFERROR(__xludf.DUMMYFUNCTION("IFERROR(VLOOKUP($A44, GOOGLEFINANCE(E$1, ""price"", $A$2, TODAY()), 2, FALSE), """")"),50.28)</f>
        <v>50.28</v>
      </c>
      <c r="F44" s="18">
        <f>IFERROR(__xludf.DUMMYFUNCTION("IFERROR(VLOOKUP($A44, GOOGLEFINANCE(F$1, ""price"", $A$2, TODAY()), 2, FALSE), """")"),99.09)</f>
        <v>99.09</v>
      </c>
      <c r="G44" s="18">
        <f>IFERROR(__xludf.DUMMYFUNCTION("IFERROR(VLOOKUP($A44, GOOGLEFINANCE(G$1, ""price"", $A$2, TODAY()), 2, FALSE), """")"),144.74)</f>
        <v>144.74</v>
      </c>
      <c r="H44" s="18">
        <f>IFERROR(__xludf.DUMMYFUNCTION("IFERROR(VLOOKUP($A44, GOOGLEFINANCE(H$1, ""price"", $A$2, TODAY()), 2, FALSE), """")"),79.9)</f>
        <v>79.9</v>
      </c>
      <c r="I44" s="18">
        <f>IFERROR(__xludf.DUMMYFUNCTION("IFERROR(VLOOKUP($A44, GOOGLEFINANCE(I$1, ""price"", $A$2, TODAY()), 2, FALSE), """")"),133.6)</f>
        <v>133.6</v>
      </c>
      <c r="J44" s="18">
        <f>IFERROR(__xludf.DUMMYFUNCTION("IFERROR(VLOOKUP($A44, GOOGLEFINANCE(J$1, ""price"", $A$2, TODAY()), 2, FALSE), """")"),46.89)</f>
        <v>46.89</v>
      </c>
      <c r="K44" s="18">
        <f>IFERROR(__xludf.DUMMYFUNCTION("IFERROR(VLOOKUP($A44, GOOGLEFINANCE(K$1, ""price"", $A$2, TODAY()), 2, FALSE), """")"),43.34)</f>
        <v>43.34</v>
      </c>
      <c r="L44" s="18">
        <f>IFERROR(__xludf.DUMMYFUNCTION("IFERROR(VLOOKUP($A44, GOOGLEFINANCE(L$1, ""price"", $A$2, TODAY()), 2, FALSE), """")"),38.72)</f>
        <v>38.72</v>
      </c>
      <c r="M44" s="196">
        <f>IFERROR(__xludf.DUMMYFUNCTION("IFERROR(VLOOKUP($A44, GOOGLEFINANCE(M$1, ""price"", $A$2, TODAY()), 2, FALSE), """")"),41.53)</f>
        <v>41.53</v>
      </c>
      <c r="O44" s="18">
        <v>0.18772753653775126</v>
      </c>
      <c r="P44" s="18">
        <v>0.17872280553650258</v>
      </c>
      <c r="Q44" s="18">
        <v>0.08842927241070014</v>
      </c>
      <c r="R44" s="18">
        <v>0.17427320213158867</v>
      </c>
      <c r="S44" s="18">
        <v>0.254559524437644</v>
      </c>
      <c r="T44" s="18">
        <v>0.14052304824214285</v>
      </c>
      <c r="U44" s="18">
        <v>0.23496719956383333</v>
      </c>
      <c r="V44" s="18">
        <v>0.08246715559542024</v>
      </c>
      <c r="W44" s="18">
        <v>0.07622364093635133</v>
      </c>
      <c r="X44" s="18">
        <v>0.06809827819694331</v>
      </c>
      <c r="Y44" s="196">
        <v>0.07304032782848802</v>
      </c>
      <c r="AA44" s="18">
        <v>0.011510441216868728</v>
      </c>
      <c r="AB44" s="18">
        <v>-0.007548709605878057</v>
      </c>
      <c r="AC44" s="18">
        <v>-0.00478283769361143</v>
      </c>
      <c r="AD44" s="18">
        <v>0.015804936162358674</v>
      </c>
      <c r="AE44" s="18">
        <v>-0.004130680973397305</v>
      </c>
      <c r="AF44" s="18">
        <v>-0.027246214670086144</v>
      </c>
      <c r="AG44" s="18">
        <v>-0.003053863226041509</v>
      </c>
      <c r="AH44" s="18">
        <v>-0.010954776360173502</v>
      </c>
      <c r="AI44" s="18">
        <v>-0.01103723784442534</v>
      </c>
      <c r="AJ44" s="18">
        <v>-0.03191034984290009</v>
      </c>
      <c r="AK44" s="18">
        <v>-0.0201348415936774</v>
      </c>
    </row>
    <row r="45">
      <c r="A45" s="230">
        <f>IFERROR(__xludf.DUMMYFUNCTION("""COMPUTED_VALUE"""),45743.66666666667)</f>
        <v>45743.66667</v>
      </c>
      <c r="B45" s="18">
        <f>IFERROR(__xludf.DUMMYFUNCTION("""COMPUTED_VALUE"""),567.08)</f>
        <v>567.08</v>
      </c>
      <c r="C45" s="18">
        <f>IFERROR(__xludf.DUMMYFUNCTION("IFERROR(VLOOKUP($A45, GOOGLEFINANCE(C$1, ""price"", $A$2, TODAY()), 2, FALSE), """")"),105.76)</f>
        <v>105.76</v>
      </c>
      <c r="D45" s="18">
        <f>IFERROR(__xludf.DUMMYFUNCTION("IFERROR(VLOOKUP($A45, GOOGLEFINANCE(D$1, ""price"", $A$2, TODAY()), 2, FALSE), """")"),101.68)</f>
        <v>101.68</v>
      </c>
      <c r="E45" s="18">
        <f>IFERROR(__xludf.DUMMYFUNCTION("IFERROR(VLOOKUP($A45, GOOGLEFINANCE(E$1, ""price"", $A$2, TODAY()), 2, FALSE), """")"),50.18)</f>
        <v>50.18</v>
      </c>
      <c r="F45" s="18">
        <f>IFERROR(__xludf.DUMMYFUNCTION("IFERROR(VLOOKUP($A45, GOOGLEFINANCE(F$1, ""price"", $A$2, TODAY()), 2, FALSE), """")"),98.65)</f>
        <v>98.65</v>
      </c>
      <c r="G45" s="18">
        <f>IFERROR(__xludf.DUMMYFUNCTION("IFERROR(VLOOKUP($A45, GOOGLEFINANCE(G$1, ""price"", $A$2, TODAY()), 2, FALSE), """")"),144.97)</f>
        <v>144.97</v>
      </c>
      <c r="H45" s="18">
        <f>IFERROR(__xludf.DUMMYFUNCTION("IFERROR(VLOOKUP($A45, GOOGLEFINANCE(H$1, ""price"", $A$2, TODAY()), 2, FALSE), """")"),80.81)</f>
        <v>80.81</v>
      </c>
      <c r="I45" s="18">
        <f>IFERROR(__xludf.DUMMYFUNCTION("IFERROR(VLOOKUP($A45, GOOGLEFINANCE(I$1, ""price"", $A$2, TODAY()), 2, FALSE), """")"),132.89)</f>
        <v>132.89</v>
      </c>
      <c r="J45" s="18">
        <f>IFERROR(__xludf.DUMMYFUNCTION("IFERROR(VLOOKUP($A45, GOOGLEFINANCE(J$1, ""price"", $A$2, TODAY()), 2, FALSE), """")"),46.44)</f>
        <v>46.44</v>
      </c>
      <c r="K45" s="18">
        <f>IFERROR(__xludf.DUMMYFUNCTION("IFERROR(VLOOKUP($A45, GOOGLEFINANCE(K$1, ""price"", $A$2, TODAY()), 2, FALSE), """")"),43.32)</f>
        <v>43.32</v>
      </c>
      <c r="L45" s="18">
        <f>IFERROR(__xludf.DUMMYFUNCTION("IFERROR(VLOOKUP($A45, GOOGLEFINANCE(L$1, ""price"", $A$2, TODAY()), 2, FALSE), """")"),38.71)</f>
        <v>38.71</v>
      </c>
      <c r="M45" s="196">
        <f>IFERROR(__xludf.DUMMYFUNCTION("IFERROR(VLOOKUP($A45, GOOGLEFINANCE(M$1, ""price"", $A$2, TODAY()), 2, FALSE), """")"),41.43)</f>
        <v>41.43</v>
      </c>
      <c r="O45" s="18">
        <v>0.1864992593637582</v>
      </c>
      <c r="P45" s="18">
        <v>0.17930450730055725</v>
      </c>
      <c r="Q45" s="18">
        <v>0.08848839669887845</v>
      </c>
      <c r="R45" s="18">
        <v>0.17396134584185652</v>
      </c>
      <c r="S45" s="18">
        <v>0.25564294279466737</v>
      </c>
      <c r="T45" s="18">
        <v>0.14250193976158565</v>
      </c>
      <c r="U45" s="18">
        <v>0.23434083374479786</v>
      </c>
      <c r="V45" s="18">
        <v>0.0818932073076109</v>
      </c>
      <c r="W45" s="18">
        <v>0.07639133808281018</v>
      </c>
      <c r="X45" s="18">
        <v>0.06826197361924242</v>
      </c>
      <c r="Y45" s="196">
        <v>0.07305847499470973</v>
      </c>
      <c r="AA45" s="18">
        <v>0.02534472956903322</v>
      </c>
      <c r="AB45" s="18">
        <v>0.007461568972038313</v>
      </c>
      <c r="AC45" s="18">
        <v>-0.004157632453594684</v>
      </c>
      <c r="AD45" s="18">
        <v>0.00902468727249972</v>
      </c>
      <c r="AE45" s="18">
        <v>-0.041405942863844025</v>
      </c>
      <c r="AF45" s="18">
        <v>-0.06753485649789048</v>
      </c>
      <c r="AG45" s="18">
        <v>-6.299128261182396E-4</v>
      </c>
      <c r="AH45" s="18">
        <v>0.01342135951106238</v>
      </c>
      <c r="AI45" s="18">
        <v>-0.013018027225704776</v>
      </c>
      <c r="AJ45" s="18">
        <v>-0.07156104304492106</v>
      </c>
      <c r="AK45" s="18">
        <v>-0.039429604858875256</v>
      </c>
    </row>
    <row r="46">
      <c r="A46" s="230">
        <f>IFERROR(__xludf.DUMMYFUNCTION("""COMPUTED_VALUE"""),45744.66666666667)</f>
        <v>45744.66667</v>
      </c>
      <c r="B46" s="18">
        <f>IFERROR(__xludf.DUMMYFUNCTION("""COMPUTED_VALUE"""),555.66)</f>
        <v>555.66</v>
      </c>
      <c r="C46" s="18">
        <f>IFERROR(__xludf.DUMMYFUNCTION("IFERROR(VLOOKUP($A46, GOOGLEFINANCE(C$1, ""price"", $A$2, TODAY()), 2, FALSE), """")"),103.19)</f>
        <v>103.19</v>
      </c>
      <c r="D46" s="18">
        <f>IFERROR(__xludf.DUMMYFUNCTION("IFERROR(VLOOKUP($A46, GOOGLEFINANCE(D$1, ""price"", $A$2, TODAY()), 2, FALSE), """")"),98.52)</f>
        <v>98.52</v>
      </c>
      <c r="E46" s="18">
        <f>IFERROR(__xludf.DUMMYFUNCTION("IFERROR(VLOOKUP($A46, GOOGLEFINANCE(E$1, ""price"", $A$2, TODAY()), 2, FALSE), """")"),49.21)</f>
        <v>49.21</v>
      </c>
      <c r="F46" s="18">
        <f>IFERROR(__xludf.DUMMYFUNCTION("IFERROR(VLOOKUP($A46, GOOGLEFINANCE(F$1, ""price"", $A$2, TODAY()), 2, FALSE), """")"),95.74)</f>
        <v>95.74</v>
      </c>
      <c r="G46" s="18">
        <f>IFERROR(__xludf.DUMMYFUNCTION("IFERROR(VLOOKUP($A46, GOOGLEFINANCE(G$1, ""price"", $A$2, TODAY()), 2, FALSE), """")"),144.52)</f>
        <v>144.52</v>
      </c>
      <c r="H46" s="18">
        <f>IFERROR(__xludf.DUMMYFUNCTION("IFERROR(VLOOKUP($A46, GOOGLEFINANCE(H$1, ""price"", $A$2, TODAY()), 2, FALSE), """")"),80.41)</f>
        <v>80.41</v>
      </c>
      <c r="I46" s="18">
        <f>IFERROR(__xludf.DUMMYFUNCTION("IFERROR(VLOOKUP($A46, GOOGLEFINANCE(I$1, ""price"", $A$2, TODAY()), 2, FALSE), """")"),130.15)</f>
        <v>130.15</v>
      </c>
      <c r="J46" s="18">
        <f>IFERROR(__xludf.DUMMYFUNCTION("IFERROR(VLOOKUP($A46, GOOGLEFINANCE(J$1, ""price"", $A$2, TODAY()), 2, FALSE), """")"),46.22)</f>
        <v>46.22</v>
      </c>
      <c r="K46" s="18">
        <f>IFERROR(__xludf.DUMMYFUNCTION("IFERROR(VLOOKUP($A46, GOOGLEFINANCE(K$1, ""price"", $A$2, TODAY()), 2, FALSE), """")"),42.53)</f>
        <v>42.53</v>
      </c>
      <c r="L46" s="18">
        <f>IFERROR(__xludf.DUMMYFUNCTION("IFERROR(VLOOKUP($A46, GOOGLEFINANCE(L$1, ""price"", $A$2, TODAY()), 2, FALSE), """")"),38.99)</f>
        <v>38.99</v>
      </c>
      <c r="M46" s="196">
        <f>IFERROR(__xludf.DUMMYFUNCTION("IFERROR(VLOOKUP($A46, GOOGLEFINANCE(M$1, ""price"", $A$2, TODAY()), 2, FALSE), """")"),41.41)</f>
        <v>41.41</v>
      </c>
      <c r="O46" s="18">
        <v>0.18570708706763128</v>
      </c>
      <c r="P46" s="18">
        <v>0.17730266709858547</v>
      </c>
      <c r="Q46" s="18">
        <v>0.08856135046611238</v>
      </c>
      <c r="R46" s="18">
        <v>0.17229960767375732</v>
      </c>
      <c r="S46" s="18">
        <v>0.26008710362451865</v>
      </c>
      <c r="T46" s="18">
        <v>0.1447107943706583</v>
      </c>
      <c r="U46" s="18">
        <v>0.23422596551848254</v>
      </c>
      <c r="V46" s="18">
        <v>0.08318036209192672</v>
      </c>
      <c r="W46" s="18">
        <v>0.07653961055321601</v>
      </c>
      <c r="X46" s="18">
        <v>0.07016880826404637</v>
      </c>
      <c r="Y46" s="196">
        <v>0.07452398948997588</v>
      </c>
      <c r="AA46" s="18">
        <v>0.028995251162767133</v>
      </c>
      <c r="AB46" s="18">
        <v>-0.019830507313202905</v>
      </c>
      <c r="AC46" s="18">
        <v>0.01240450596192888</v>
      </c>
      <c r="AD46" s="18">
        <v>-0.0019540781222505688</v>
      </c>
      <c r="AE46" s="18">
        <v>-0.028556980193696235</v>
      </c>
      <c r="AF46" s="18">
        <v>-0.06806691078758309</v>
      </c>
      <c r="AG46" s="18">
        <v>0.0034737651108940337</v>
      </c>
      <c r="AH46" s="18">
        <v>0.06727712945171982</v>
      </c>
      <c r="AI46" s="18">
        <v>-0.006832706206240768</v>
      </c>
      <c r="AJ46" s="18">
        <v>-0.04870149075241903</v>
      </c>
      <c r="AK46" s="18">
        <v>-0.03348353671727389</v>
      </c>
    </row>
    <row r="47">
      <c r="A47" s="230">
        <f>IFERROR(__xludf.DUMMYFUNCTION("""COMPUTED_VALUE"""),45747.66666666667)</f>
        <v>45747.66667</v>
      </c>
      <c r="B47" s="18">
        <f>IFERROR(__xludf.DUMMYFUNCTION("""COMPUTED_VALUE"""),559.39)</f>
        <v>559.39</v>
      </c>
      <c r="C47" s="18">
        <f>IFERROR(__xludf.DUMMYFUNCTION("IFERROR(VLOOKUP($A47, GOOGLEFINANCE(C$1, ""price"", $A$2, TODAY()), 2, FALSE), """")"),103.24)</f>
        <v>103.24</v>
      </c>
      <c r="D47" s="18">
        <f>IFERROR(__xludf.DUMMYFUNCTION("IFERROR(VLOOKUP($A47, GOOGLEFINANCE(D$1, ""price"", $A$2, TODAY()), 2, FALSE), """")"),98.73)</f>
        <v>98.73</v>
      </c>
      <c r="E47" s="18">
        <f>IFERROR(__xludf.DUMMYFUNCTION("IFERROR(VLOOKUP($A47, GOOGLEFINANCE(E$1, ""price"", $A$2, TODAY()), 2, FALSE), """")"),49.81)</f>
        <v>49.81</v>
      </c>
      <c r="F47" s="18">
        <f>IFERROR(__xludf.DUMMYFUNCTION("IFERROR(VLOOKUP($A47, GOOGLEFINANCE(F$1, ""price"", $A$2, TODAY()), 2, FALSE), """")"),96.45)</f>
        <v>96.45</v>
      </c>
      <c r="G47" s="18">
        <f>IFERROR(__xludf.DUMMYFUNCTION("IFERROR(VLOOKUP($A47, GOOGLEFINANCE(G$1, ""price"", $A$2, TODAY()), 2, FALSE), """")"),146.01)</f>
        <v>146.01</v>
      </c>
      <c r="H47" s="18">
        <f>IFERROR(__xludf.DUMMYFUNCTION("IFERROR(VLOOKUP($A47, GOOGLEFINANCE(H$1, ""price"", $A$2, TODAY()), 2, FALSE), """")"),81.67)</f>
        <v>81.67</v>
      </c>
      <c r="I47" s="18">
        <f>IFERROR(__xludf.DUMMYFUNCTION("IFERROR(VLOOKUP($A47, GOOGLEFINANCE(I$1, ""price"", $A$2, TODAY()), 2, FALSE), """")"),131.07)</f>
        <v>131.07</v>
      </c>
      <c r="J47" s="18">
        <f>IFERROR(__xludf.DUMMYFUNCTION("IFERROR(VLOOKUP($A47, GOOGLEFINANCE(J$1, ""price"", $A$2, TODAY()), 2, FALSE), """")"),46.73)</f>
        <v>46.73</v>
      </c>
      <c r="K47" s="18">
        <f>IFERROR(__xludf.DUMMYFUNCTION("IFERROR(VLOOKUP($A47, GOOGLEFINANCE(K$1, ""price"", $A$2, TODAY()), 2, FALSE), """")"),42.99)</f>
        <v>42.99</v>
      </c>
      <c r="L47" s="18">
        <f>IFERROR(__xludf.DUMMYFUNCTION("IFERROR(VLOOKUP($A47, GOOGLEFINANCE(L$1, ""price"", $A$2, TODAY()), 2, FALSE), """")"),39.42)</f>
        <v>39.42</v>
      </c>
      <c r="M47" s="196">
        <f>IFERROR(__xludf.DUMMYFUNCTION("IFERROR(VLOOKUP($A47, GOOGLEFINANCE(M$1, ""price"", $A$2, TODAY()), 2, FALSE), """")"),41.85)</f>
        <v>41.85</v>
      </c>
      <c r="O47" s="18">
        <v>0.18455817944546737</v>
      </c>
      <c r="P47" s="18">
        <v>0.1764958258102576</v>
      </c>
      <c r="Q47" s="18">
        <v>0.0890434222992903</v>
      </c>
      <c r="R47" s="18">
        <v>0.17241995745365488</v>
      </c>
      <c r="S47" s="18">
        <v>0.26101646436296677</v>
      </c>
      <c r="T47" s="18">
        <v>0.1459983195981337</v>
      </c>
      <c r="U47" s="18">
        <v>0.23430880065785945</v>
      </c>
      <c r="V47" s="18">
        <v>0.08353742469475678</v>
      </c>
      <c r="W47" s="18">
        <v>0.07685157046068039</v>
      </c>
      <c r="X47" s="18">
        <v>0.07046961869178928</v>
      </c>
      <c r="Y47" s="196">
        <v>0.07481363628237903</v>
      </c>
      <c r="AA47" s="18">
        <v>0.01479837074789958</v>
      </c>
      <c r="AB47" s="18">
        <v>-0.014382588328412993</v>
      </c>
      <c r="AC47" s="18">
        <v>0.018637363105376226</v>
      </c>
      <c r="AD47" s="18">
        <v>-0.004405516422730904</v>
      </c>
      <c r="AE47" s="18">
        <v>-0.020960182231031577</v>
      </c>
      <c r="AF47" s="18">
        <v>-0.05043671903408542</v>
      </c>
      <c r="AG47" s="18">
        <v>0.00673543637286933</v>
      </c>
      <c r="AH47" s="18">
        <v>0.07678523556200934</v>
      </c>
      <c r="AI47" s="18">
        <v>0.01154475754065687</v>
      </c>
      <c r="AJ47" s="18">
        <v>-0.03151318049687546</v>
      </c>
      <c r="AK47" s="18">
        <v>-0.007509156546387952</v>
      </c>
    </row>
    <row r="48">
      <c r="A48" s="230">
        <f>IFERROR(__xludf.DUMMYFUNCTION("""COMPUTED_VALUE"""),45748.66666666667)</f>
        <v>45748.66667</v>
      </c>
      <c r="B48" s="18">
        <f>IFERROR(__xludf.DUMMYFUNCTION("""COMPUTED_VALUE"""),560.97)</f>
        <v>560.97</v>
      </c>
      <c r="C48" s="18">
        <f>IFERROR(__xludf.DUMMYFUNCTION("IFERROR(VLOOKUP($A48, GOOGLEFINANCE(C$1, ""price"", $A$2, TODAY()), 2, FALSE), """")"),104.0)</f>
        <v>104</v>
      </c>
      <c r="D48" s="18">
        <f>IFERROR(__xludf.DUMMYFUNCTION("IFERROR(VLOOKUP($A48, GOOGLEFINANCE(D$1, ""price"", $A$2, TODAY()), 2, FALSE), """")"),99.76)</f>
        <v>99.76</v>
      </c>
      <c r="E48" s="18">
        <f>IFERROR(__xludf.DUMMYFUNCTION("IFERROR(VLOOKUP($A48, GOOGLEFINANCE(E$1, ""price"", $A$2, TODAY()), 2, FALSE), """")"),49.75)</f>
        <v>49.75</v>
      </c>
      <c r="F48" s="18">
        <f>IFERROR(__xludf.DUMMYFUNCTION("IFERROR(VLOOKUP($A48, GOOGLEFINANCE(F$1, ""price"", $A$2, TODAY()), 2, FALSE), """")"),96.51)</f>
        <v>96.51</v>
      </c>
      <c r="G48" s="18">
        <f>IFERROR(__xludf.DUMMYFUNCTION("IFERROR(VLOOKUP($A48, GOOGLEFINANCE(G$1, ""price"", $A$2, TODAY()), 2, FALSE), """")"),143.34)</f>
        <v>143.34</v>
      </c>
      <c r="H48" s="18">
        <f>IFERROR(__xludf.DUMMYFUNCTION("IFERROR(VLOOKUP($A48, GOOGLEFINANCE(H$1, ""price"", $A$2, TODAY()), 2, FALSE), """")"),81.79)</f>
        <v>81.79</v>
      </c>
      <c r="I48" s="18">
        <f>IFERROR(__xludf.DUMMYFUNCTION("IFERROR(VLOOKUP($A48, GOOGLEFINANCE(I$1, ""price"", $A$2, TODAY()), 2, FALSE), """")"),131.81)</f>
        <v>131.81</v>
      </c>
      <c r="J48" s="18">
        <f>IFERROR(__xludf.DUMMYFUNCTION("IFERROR(VLOOKUP($A48, GOOGLEFINANCE(J$1, ""price"", $A$2, TODAY()), 2, FALSE), """")"),47.0)</f>
        <v>47</v>
      </c>
      <c r="K48" s="18">
        <f>IFERROR(__xludf.DUMMYFUNCTION("IFERROR(VLOOKUP($A48, GOOGLEFINANCE(K$1, ""price"", $A$2, TODAY()), 2, FALSE), """")"),43.15)</f>
        <v>43.15</v>
      </c>
      <c r="L48" s="18">
        <f>IFERROR(__xludf.DUMMYFUNCTION("IFERROR(VLOOKUP($A48, GOOGLEFINANCE(L$1, ""price"", $A$2, TODAY()), 2, FALSE), """")"),39.53)</f>
        <v>39.53</v>
      </c>
      <c r="M48" s="196">
        <f>IFERROR(__xludf.DUMMYFUNCTION("IFERROR(VLOOKUP($A48, GOOGLEFINANCE(M$1, ""price"", $A$2, TODAY()), 2, FALSE), """")"),41.88)</f>
        <v>41.88</v>
      </c>
      <c r="O48" s="18">
        <v>0.18539315827940886</v>
      </c>
      <c r="P48" s="18">
        <v>0.17783482182647914</v>
      </c>
      <c r="Q48" s="18">
        <v>0.0886856694653903</v>
      </c>
      <c r="R48" s="18">
        <v>0.17204128563024762</v>
      </c>
      <c r="S48" s="18">
        <v>0.25552168565163913</v>
      </c>
      <c r="T48" s="18">
        <v>0.1458010232276236</v>
      </c>
      <c r="U48" s="18">
        <v>0.23496800185393157</v>
      </c>
      <c r="V48" s="18">
        <v>0.08378344653011748</v>
      </c>
      <c r="W48" s="18">
        <v>0.07692033442073551</v>
      </c>
      <c r="X48" s="18">
        <v>0.07046722641139455</v>
      </c>
      <c r="Y48" s="196">
        <v>0.07465639873790042</v>
      </c>
      <c r="AA48" s="18">
        <v>0.024190444225669294</v>
      </c>
      <c r="AB48" s="18">
        <v>0.0013772523580624085</v>
      </c>
      <c r="AC48" s="18">
        <v>0.00251960783645222</v>
      </c>
      <c r="AD48" s="18">
        <v>-0.008300737377158307</v>
      </c>
      <c r="AE48" s="18">
        <v>-0.046011381468447854</v>
      </c>
      <c r="AF48" s="18">
        <v>-0.05190187279567038</v>
      </c>
      <c r="AG48" s="18">
        <v>0.002034990211646992</v>
      </c>
      <c r="AH48" s="18">
        <v>0.08835179312592167</v>
      </c>
      <c r="AI48" s="18">
        <v>0.028255455929099726</v>
      </c>
      <c r="AJ48" s="18">
        <v>-0.04280250153955767</v>
      </c>
      <c r="AK48" s="18">
        <v>-3.9350470893195766E-4</v>
      </c>
    </row>
    <row r="49">
      <c r="A49" s="230">
        <f>IFERROR(__xludf.DUMMYFUNCTION("""COMPUTED_VALUE"""),45749.66666666667)</f>
        <v>45749.66667</v>
      </c>
      <c r="B49" s="18">
        <f>IFERROR(__xludf.DUMMYFUNCTION("""COMPUTED_VALUE"""),564.52)</f>
        <v>564.52</v>
      </c>
      <c r="C49" s="18">
        <f>IFERROR(__xludf.DUMMYFUNCTION("IFERROR(VLOOKUP($A49, GOOGLEFINANCE(C$1, ""price"", $A$2, TODAY()), 2, FALSE), """")"),104.77)</f>
        <v>104.77</v>
      </c>
      <c r="D49" s="18">
        <f>IFERROR(__xludf.DUMMYFUNCTION("IFERROR(VLOOKUP($A49, GOOGLEFINANCE(D$1, ""price"", $A$2, TODAY()), 2, FALSE), """")"),101.66)</f>
        <v>101.66</v>
      </c>
      <c r="E49" s="18">
        <f>IFERROR(__xludf.DUMMYFUNCTION("IFERROR(VLOOKUP($A49, GOOGLEFINANCE(E$1, ""price"", $A$2, TODAY()), 2, FALSE), """")"),50.16)</f>
        <v>50.16</v>
      </c>
      <c r="F49" s="18">
        <f>IFERROR(__xludf.DUMMYFUNCTION("IFERROR(VLOOKUP($A49, GOOGLEFINANCE(F$1, ""price"", $A$2, TODAY()), 2, FALSE), """")"),96.85)</f>
        <v>96.85</v>
      </c>
      <c r="G49" s="18">
        <f>IFERROR(__xludf.DUMMYFUNCTION("IFERROR(VLOOKUP($A49, GOOGLEFINANCE(G$1, ""price"", $A$2, TODAY()), 2, FALSE), """")"),144.3)</f>
        <v>144.3</v>
      </c>
      <c r="H49" s="18">
        <f>IFERROR(__xludf.DUMMYFUNCTION("IFERROR(VLOOKUP($A49, GOOGLEFINANCE(H$1, ""price"", $A$2, TODAY()), 2, FALSE), """")"),81.55)</f>
        <v>81.55</v>
      </c>
      <c r="I49" s="18">
        <f>IFERROR(__xludf.DUMMYFUNCTION("IFERROR(VLOOKUP($A49, GOOGLEFINANCE(I$1, ""price"", $A$2, TODAY()), 2, FALSE), """")"),133.05)</f>
        <v>133.05</v>
      </c>
      <c r="J49" s="18">
        <f>IFERROR(__xludf.DUMMYFUNCTION("IFERROR(VLOOKUP($A49, GOOGLEFINANCE(J$1, ""price"", $A$2, TODAY()), 2, FALSE), """")"),47.07)</f>
        <v>47.07</v>
      </c>
      <c r="K49" s="18">
        <f>IFERROR(__xludf.DUMMYFUNCTION("IFERROR(VLOOKUP($A49, GOOGLEFINANCE(K$1, ""price"", $A$2, TODAY()), 2, FALSE), """")"),43.51)</f>
        <v>43.51</v>
      </c>
      <c r="L49" s="18">
        <f>IFERROR(__xludf.DUMMYFUNCTION("IFERROR(VLOOKUP($A49, GOOGLEFINANCE(L$1, ""price"", $A$2, TODAY()), 2, FALSE), """")"),39.71)</f>
        <v>39.71</v>
      </c>
      <c r="M49" s="196">
        <f>IFERROR(__xludf.DUMMYFUNCTION("IFERROR(VLOOKUP($A49, GOOGLEFINANCE(M$1, ""price"", $A$2, TODAY()), 2, FALSE), """")"),42.08)</f>
        <v>42.08</v>
      </c>
      <c r="O49" s="18">
        <v>0.1855912988025225</v>
      </c>
      <c r="P49" s="18">
        <v>0.1800821937221002</v>
      </c>
      <c r="Q49" s="18">
        <v>0.08885424785658612</v>
      </c>
      <c r="R49" s="18">
        <v>0.17156168071990363</v>
      </c>
      <c r="S49" s="18">
        <v>0.25561539006589673</v>
      </c>
      <c r="T49" s="18">
        <v>0.1444590094239354</v>
      </c>
      <c r="U49" s="18">
        <v>0.23568695528944947</v>
      </c>
      <c r="V49" s="18">
        <v>0.08338057110465528</v>
      </c>
      <c r="W49" s="18">
        <v>0.07707432863317508</v>
      </c>
      <c r="X49" s="18">
        <v>0.07034294621979735</v>
      </c>
      <c r="Y49" s="196">
        <v>0.07454120314603557</v>
      </c>
      <c r="AA49" s="18">
        <v>-0.0010880177667036417</v>
      </c>
      <c r="AB49" s="18">
        <v>0.010501105858838233</v>
      </c>
      <c r="AC49" s="18">
        <v>0.03212401988313118</v>
      </c>
      <c r="AD49" s="18">
        <v>0.004076907153333975</v>
      </c>
      <c r="AE49" s="18">
        <v>0.010635019443299809</v>
      </c>
      <c r="AF49" s="18">
        <v>-7.174158345804038E-4</v>
      </c>
      <c r="AG49" s="18">
        <v>0.02005819983352608</v>
      </c>
      <c r="AH49" s="18">
        <v>0.11083654491102424</v>
      </c>
      <c r="AI49" s="18">
        <v>0.04716488793294982</v>
      </c>
      <c r="AJ49" s="18">
        <v>0.015834355227828834</v>
      </c>
      <c r="AK49" s="18">
        <v>0.042968499616884426</v>
      </c>
    </row>
    <row r="50">
      <c r="A50" s="230">
        <f>IFERROR(__xludf.DUMMYFUNCTION("""COMPUTED_VALUE"""),45750.66666666667)</f>
        <v>45750.66667</v>
      </c>
      <c r="B50" s="18">
        <f>IFERROR(__xludf.DUMMYFUNCTION("""COMPUTED_VALUE"""),536.7)</f>
        <v>536.7</v>
      </c>
      <c r="C50" s="18">
        <f>IFERROR(__xludf.DUMMYFUNCTION("IFERROR(VLOOKUP($A50, GOOGLEFINANCE(C$1, ""price"", $A$2, TODAY()), 2, FALSE), """")"),97.62)</f>
        <v>97.62</v>
      </c>
      <c r="D50" s="18">
        <f>IFERROR(__xludf.DUMMYFUNCTION("IFERROR(VLOOKUP($A50, GOOGLEFINANCE(D$1, ""price"", $A$2, TODAY()), 2, FALSE), """")"),95.52)</f>
        <v>95.52</v>
      </c>
      <c r="E50" s="18">
        <f>IFERROR(__xludf.DUMMYFUNCTION("IFERROR(VLOOKUP($A50, GOOGLEFINANCE(E$1, ""price"", $A$2, TODAY()), 2, FALSE), """")"),47.69)</f>
        <v>47.69</v>
      </c>
      <c r="F50" s="18">
        <f>IFERROR(__xludf.DUMMYFUNCTION("IFERROR(VLOOKUP($A50, GOOGLEFINANCE(F$1, ""price"", $A$2, TODAY()), 2, FALSE), """")"),92.53)</f>
        <v>92.53</v>
      </c>
      <c r="G50" s="18">
        <f>IFERROR(__xludf.DUMMYFUNCTION("IFERROR(VLOOKUP($A50, GOOGLEFINANCE(G$1, ""price"", $A$2, TODAY()), 2, FALSE), """")"),143.13)</f>
        <v>143.13</v>
      </c>
      <c r="H50" s="18">
        <f>IFERROR(__xludf.DUMMYFUNCTION("IFERROR(VLOOKUP($A50, GOOGLEFINANCE(H$1, ""price"", $A$2, TODAY()), 2, FALSE), """")"),82.02)</f>
        <v>82.02</v>
      </c>
      <c r="I50" s="18">
        <f>IFERROR(__xludf.DUMMYFUNCTION("IFERROR(VLOOKUP($A50, GOOGLEFINANCE(I$1, ""price"", $A$2, TODAY()), 2, FALSE), """")"),125.85)</f>
        <v>125.85</v>
      </c>
      <c r="J50" s="18">
        <f>IFERROR(__xludf.DUMMYFUNCTION("IFERROR(VLOOKUP($A50, GOOGLEFINANCE(J$1, ""price"", $A$2, TODAY()), 2, FALSE), """")"),43.37)</f>
        <v>43.37</v>
      </c>
      <c r="K50" s="18">
        <f>IFERROR(__xludf.DUMMYFUNCTION("IFERROR(VLOOKUP($A50, GOOGLEFINANCE(K$1, ""price"", $A$2, TODAY()), 2, FALSE), """")"),41.54)</f>
        <v>41.54</v>
      </c>
      <c r="L50" s="18">
        <f>IFERROR(__xludf.DUMMYFUNCTION("IFERROR(VLOOKUP($A50, GOOGLEFINANCE(L$1, ""price"", $A$2, TODAY()), 2, FALSE), """")"),39.46)</f>
        <v>39.46</v>
      </c>
      <c r="M50" s="196">
        <f>IFERROR(__xludf.DUMMYFUNCTION("IFERROR(VLOOKUP($A50, GOOGLEFINANCE(M$1, ""price"", $A$2, TODAY()), 2, FALSE), """")"),40.82)</f>
        <v>40.82</v>
      </c>
      <c r="O50" s="18">
        <v>0.18188932364449412</v>
      </c>
      <c r="P50" s="18">
        <v>0.1779765231973169</v>
      </c>
      <c r="Q50" s="18">
        <v>0.08885783491708589</v>
      </c>
      <c r="R50" s="18">
        <v>0.17240544065585986</v>
      </c>
      <c r="S50" s="18">
        <v>0.2666852990497484</v>
      </c>
      <c r="T50" s="18">
        <v>0.1528228060368921</v>
      </c>
      <c r="U50" s="18">
        <v>0.23448854108440467</v>
      </c>
      <c r="V50" s="18">
        <v>0.08080864542574995</v>
      </c>
      <c r="W50" s="18">
        <v>0.07739891932178125</v>
      </c>
      <c r="X50" s="18">
        <v>0.07352338364076764</v>
      </c>
      <c r="Y50" s="196">
        <v>0.07605738773989193</v>
      </c>
      <c r="AA50" s="18">
        <v>-0.0182580368615215</v>
      </c>
      <c r="AB50" s="18">
        <v>-0.006248807463028139</v>
      </c>
      <c r="AC50" s="18">
        <v>0.01531350557187805</v>
      </c>
      <c r="AD50" s="18">
        <v>-6.580545939119942E-4</v>
      </c>
      <c r="AE50" s="18">
        <v>0.03712487341920867</v>
      </c>
      <c r="AF50" s="18">
        <v>0.010306081800036226</v>
      </c>
      <c r="AG50" s="18">
        <v>-0.003903159105538734</v>
      </c>
      <c r="AH50" s="18">
        <v>0.10134058761859976</v>
      </c>
      <c r="AI50" s="18">
        <v>0.03867805315477124</v>
      </c>
      <c r="AJ50" s="18">
        <v>0.02304765491442695</v>
      </c>
      <c r="AK50" s="18">
        <v>0.03955665608630832</v>
      </c>
    </row>
    <row r="51">
      <c r="A51" s="230">
        <f>IFERROR(__xludf.DUMMYFUNCTION("""COMPUTED_VALUE"""),45751.66666666667)</f>
        <v>45751.66667</v>
      </c>
      <c r="B51" s="18">
        <f>IFERROR(__xludf.DUMMYFUNCTION("""COMPUTED_VALUE"""),505.28)</f>
        <v>505.28</v>
      </c>
      <c r="C51" s="18">
        <f>IFERROR(__xludf.DUMMYFUNCTION("IFERROR(VLOOKUP($A51, GOOGLEFINANCE(C$1, ""price"", $A$2, TODAY()), 2, FALSE), """")"),91.19)</f>
        <v>91.19</v>
      </c>
      <c r="D51" s="18">
        <f>IFERROR(__xludf.DUMMYFUNCTION("IFERROR(VLOOKUP($A51, GOOGLEFINANCE(D$1, ""price"", $A$2, TODAY()), 2, FALSE), """")"),91.4)</f>
        <v>91.4</v>
      </c>
      <c r="E51" s="18">
        <f>IFERROR(__xludf.DUMMYFUNCTION("IFERROR(VLOOKUP($A51, GOOGLEFINANCE(E$1, ""price"", $A$2, TODAY()), 2, FALSE), """")"),44.2)</f>
        <v>44.2</v>
      </c>
      <c r="F51" s="18">
        <f>IFERROR(__xludf.DUMMYFUNCTION("IFERROR(VLOOKUP($A51, GOOGLEFINANCE(F$1, ""price"", $A$2, TODAY()), 2, FALSE), """")"),87.23)</f>
        <v>87.23</v>
      </c>
      <c r="G51" s="18">
        <f>IFERROR(__xludf.DUMMYFUNCTION("IFERROR(VLOOKUP($A51, GOOGLEFINANCE(G$1, ""price"", $A$2, TODAY()), 2, FALSE), """")"),135.28)</f>
        <v>135.28</v>
      </c>
      <c r="H51" s="18">
        <f>IFERROR(__xludf.DUMMYFUNCTION("IFERROR(VLOOKUP($A51, GOOGLEFINANCE(H$1, ""price"", $A$2, TODAY()), 2, FALSE), """")"),78.46)</f>
        <v>78.46</v>
      </c>
      <c r="I51" s="18">
        <f>IFERROR(__xludf.DUMMYFUNCTION("IFERROR(VLOOKUP($A51, GOOGLEFINANCE(I$1, ""price"", $A$2, TODAY()), 2, FALSE), """")"),117.94)</f>
        <v>117.94</v>
      </c>
      <c r="J51" s="18">
        <f>IFERROR(__xludf.DUMMYFUNCTION("IFERROR(VLOOKUP($A51, GOOGLEFINANCE(J$1, ""price"", $A$2, TODAY()), 2, FALSE), """")"),39.38)</f>
        <v>39.38</v>
      </c>
      <c r="K51" s="18">
        <f>IFERROR(__xludf.DUMMYFUNCTION("IFERROR(VLOOKUP($A51, GOOGLEFINANCE(K$1, ""price"", $A$2, TODAY()), 2, FALSE), """")"),38.94)</f>
        <v>38.94</v>
      </c>
      <c r="L51" s="18">
        <f>IFERROR(__xludf.DUMMYFUNCTION("IFERROR(VLOOKUP($A51, GOOGLEFINANCE(L$1, ""price"", $A$2, TODAY()), 2, FALSE), """")"),37.27)</f>
        <v>37.27</v>
      </c>
      <c r="M51" s="196">
        <f>IFERROR(__xludf.DUMMYFUNCTION("IFERROR(VLOOKUP($A51, GOOGLEFINANCE(M$1, ""price"", $A$2, TODAY()), 2, FALSE), """")"),38.96)</f>
        <v>38.96</v>
      </c>
      <c r="O51" s="18">
        <v>0.18047419252691577</v>
      </c>
      <c r="P51" s="18">
        <v>0.18088980367321092</v>
      </c>
      <c r="Q51" s="18">
        <v>0.08747625079164029</v>
      </c>
      <c r="R51" s="18">
        <v>0.17263695376820776</v>
      </c>
      <c r="S51" s="18">
        <v>0.2677327422419253</v>
      </c>
      <c r="T51" s="18">
        <v>0.1552802406586447</v>
      </c>
      <c r="U51" s="18">
        <v>0.23341513616212795</v>
      </c>
      <c r="V51" s="18">
        <v>0.07793698543381888</v>
      </c>
      <c r="W51" s="18">
        <v>0.07706618112729575</v>
      </c>
      <c r="X51" s="18">
        <v>0.07376108296390121</v>
      </c>
      <c r="Y51" s="196">
        <v>0.07710576314122863</v>
      </c>
      <c r="AA51" s="18">
        <v>-0.02840905063700938</v>
      </c>
      <c r="AB51" s="18">
        <v>0.018177332629920384</v>
      </c>
      <c r="AC51" s="18">
        <v>7.942864300067853E-4</v>
      </c>
      <c r="AD51" s="18">
        <v>0.009946040265113032</v>
      </c>
      <c r="AE51" s="18">
        <v>0.04444524287757412</v>
      </c>
      <c r="AF51" s="18">
        <v>0.03186473798726519</v>
      </c>
      <c r="AG51" s="18">
        <v>-0.008278206394472742</v>
      </c>
      <c r="AH51" s="18">
        <v>0.05484598232023474</v>
      </c>
      <c r="AI51" s="18">
        <v>0.022328366487162743</v>
      </c>
      <c r="AJ51" s="18">
        <v>0.03207527876691363</v>
      </c>
      <c r="AK51" s="18">
        <v>0.05780707018570452</v>
      </c>
    </row>
    <row r="52">
      <c r="A52" s="230">
        <f>IFERROR(__xludf.DUMMYFUNCTION("""COMPUTED_VALUE"""),45754.66666666667)</f>
        <v>45754.66667</v>
      </c>
      <c r="B52" s="18">
        <f>IFERROR(__xludf.DUMMYFUNCTION("""COMPUTED_VALUE"""),504.38)</f>
        <v>504.38</v>
      </c>
      <c r="C52" s="18">
        <f>IFERROR(__xludf.DUMMYFUNCTION("IFERROR(VLOOKUP($A52, GOOGLEFINANCE(C$1, ""price"", $A$2, TODAY()), 2, FALSE), """")"),91.73)</f>
        <v>91.73</v>
      </c>
      <c r="D52" s="18">
        <f>IFERROR(__xludf.DUMMYFUNCTION("IFERROR(VLOOKUP($A52, GOOGLEFINANCE(D$1, ""price"", $A$2, TODAY()), 2, FALSE), """")"),90.32)</f>
        <v>90.32</v>
      </c>
      <c r="E52" s="18">
        <f>IFERROR(__xludf.DUMMYFUNCTION("IFERROR(VLOOKUP($A52, GOOGLEFINANCE(E$1, ""price"", $A$2, TODAY()), 2, FALSE), """")"),44.09)</f>
        <v>44.09</v>
      </c>
      <c r="F52" s="18">
        <f>IFERROR(__xludf.DUMMYFUNCTION("IFERROR(VLOOKUP($A52, GOOGLEFINANCE(F$1, ""price"", $A$2, TODAY()), 2, FALSE), """")"),87.35)</f>
        <v>87.35</v>
      </c>
      <c r="G52" s="18">
        <f>IFERROR(__xludf.DUMMYFUNCTION("IFERROR(VLOOKUP($A52, GOOGLEFINANCE(G$1, ""price"", $A$2, TODAY()), 2, FALSE), """")"),134.47)</f>
        <v>134.47</v>
      </c>
      <c r="H52" s="18">
        <f>IFERROR(__xludf.DUMMYFUNCTION("IFERROR(VLOOKUP($A52, GOOGLEFINANCE(H$1, ""price"", $A$2, TODAY()), 2, FALSE), """")"),77.55)</f>
        <v>77.55</v>
      </c>
      <c r="I52" s="18">
        <f>IFERROR(__xludf.DUMMYFUNCTION("IFERROR(VLOOKUP($A52, GOOGLEFINANCE(I$1, ""price"", $A$2, TODAY()), 2, FALSE), """")"),117.39)</f>
        <v>117.39</v>
      </c>
      <c r="J52" s="18">
        <f>IFERROR(__xludf.DUMMYFUNCTION("IFERROR(VLOOKUP($A52, GOOGLEFINANCE(J$1, ""price"", $A$2, TODAY()), 2, FALSE), """")"),39.13)</f>
        <v>39.13</v>
      </c>
      <c r="K52" s="18">
        <f>IFERROR(__xludf.DUMMYFUNCTION("IFERROR(VLOOKUP($A52, GOOGLEFINANCE(K$1, ""price"", $A$2, TODAY()), 2, FALSE), """")"),38.32)</f>
        <v>38.32</v>
      </c>
      <c r="L52" s="18">
        <f>IFERROR(__xludf.DUMMYFUNCTION("IFERROR(VLOOKUP($A52, GOOGLEFINANCE(L$1, ""price"", $A$2, TODAY()), 2, FALSE), """")"),36.7)</f>
        <v>36.7</v>
      </c>
      <c r="M52" s="196">
        <f>IFERROR(__xludf.DUMMYFUNCTION("IFERROR(VLOOKUP($A52, GOOGLEFINANCE(M$1, ""price"", $A$2, TODAY()), 2, FALSE), """")"),38.02)</f>
        <v>38.02</v>
      </c>
      <c r="O52" s="18">
        <v>0.18186684642531425</v>
      </c>
      <c r="P52" s="18">
        <v>0.1790713351044847</v>
      </c>
      <c r="Q52" s="18">
        <v>0.0874142511598398</v>
      </c>
      <c r="R52" s="18">
        <v>0.1731829176414608</v>
      </c>
      <c r="S52" s="18">
        <v>0.26660454419287044</v>
      </c>
      <c r="T52" s="18">
        <v>0.15375312264562432</v>
      </c>
      <c r="U52" s="18">
        <v>0.2327411872001269</v>
      </c>
      <c r="V52" s="18">
        <v>0.07758039573337563</v>
      </c>
      <c r="W52" s="18">
        <v>0.07597446369800548</v>
      </c>
      <c r="X52" s="18">
        <v>0.07276259962726517</v>
      </c>
      <c r="Y52" s="196">
        <v>0.07537967405527579</v>
      </c>
      <c r="AA52" s="18">
        <v>-0.020303214979861872</v>
      </c>
      <c r="AB52" s="18">
        <v>0.01472501767426726</v>
      </c>
      <c r="AC52" s="18">
        <v>-4.92659908953641E-4</v>
      </c>
      <c r="AD52" s="18">
        <v>0.01617734609125332</v>
      </c>
      <c r="AE52" s="18">
        <v>0.037475399633754236</v>
      </c>
      <c r="AF52" s="18">
        <v>0.014334110140834522</v>
      </c>
      <c r="AG52" s="18">
        <v>-0.011848882947453121</v>
      </c>
      <c r="AH52" s="18">
        <v>0.05645726061574807</v>
      </c>
      <c r="AI52" s="18">
        <v>0.005384213767027912</v>
      </c>
      <c r="AJ52" s="18">
        <v>0.009723879306337002</v>
      </c>
      <c r="AK52" s="18">
        <v>0.02158596975063576</v>
      </c>
    </row>
    <row r="53">
      <c r="A53" s="230">
        <f>IFERROR(__xludf.DUMMYFUNCTION("""COMPUTED_VALUE"""),45755.66666666667)</f>
        <v>45755.66667</v>
      </c>
      <c r="B53" s="18">
        <f>IFERROR(__xludf.DUMMYFUNCTION("""COMPUTED_VALUE"""),496.48)</f>
        <v>496.48</v>
      </c>
      <c r="C53" s="18">
        <f>IFERROR(__xludf.DUMMYFUNCTION("IFERROR(VLOOKUP($A53, GOOGLEFINANCE(C$1, ""price"", $A$2, TODAY()), 2, FALSE), """")"),89.87)</f>
        <v>89.87</v>
      </c>
      <c r="D53" s="18">
        <f>IFERROR(__xludf.DUMMYFUNCTION("IFERROR(VLOOKUP($A53, GOOGLEFINANCE(D$1, ""price"", $A$2, TODAY()), 2, FALSE), """")"),88.17)</f>
        <v>88.17</v>
      </c>
      <c r="E53" s="18">
        <f>IFERROR(__xludf.DUMMYFUNCTION("IFERROR(VLOOKUP($A53, GOOGLEFINANCE(E$1, ""price"", $A$2, TODAY()), 2, FALSE), """")"),43.92)</f>
        <v>43.92</v>
      </c>
      <c r="F53" s="18">
        <f>IFERROR(__xludf.DUMMYFUNCTION("IFERROR(VLOOKUP($A53, GOOGLEFINANCE(F$1, ""price"", $A$2, TODAY()), 2, FALSE), """")"),86.13)</f>
        <v>86.13</v>
      </c>
      <c r="G53" s="18">
        <f>IFERROR(__xludf.DUMMYFUNCTION("IFERROR(VLOOKUP($A53, GOOGLEFINANCE(G$1, ""price"", $A$2, TODAY()), 2, FALSE), """")"),132.98)</f>
        <v>132.98</v>
      </c>
      <c r="H53" s="18">
        <f>IFERROR(__xludf.DUMMYFUNCTION("IFERROR(VLOOKUP($A53, GOOGLEFINANCE(H$1, ""price"", $A$2, TODAY()), 2, FALSE), """")"),76.35)</f>
        <v>76.35</v>
      </c>
      <c r="I53" s="18">
        <f>IFERROR(__xludf.DUMMYFUNCTION("IFERROR(VLOOKUP($A53, GOOGLEFINANCE(I$1, ""price"", $A$2, TODAY()), 2, FALSE), """")"),116.42)</f>
        <v>116.42</v>
      </c>
      <c r="J53" s="18">
        <f>IFERROR(__xludf.DUMMYFUNCTION("IFERROR(VLOOKUP($A53, GOOGLEFINANCE(J$1, ""price"", $A$2, TODAY()), 2, FALSE), """")"),38.22)</f>
        <v>38.22</v>
      </c>
      <c r="K53" s="18">
        <f>IFERROR(__xludf.DUMMYFUNCTION("IFERROR(VLOOKUP($A53, GOOGLEFINANCE(K$1, ""price"", $A$2, TODAY()), 2, FALSE), """")"),37.14)</f>
        <v>37.14</v>
      </c>
      <c r="L53" s="18">
        <f>IFERROR(__xludf.DUMMYFUNCTION("IFERROR(VLOOKUP($A53, GOOGLEFINANCE(L$1, ""price"", $A$2, TODAY()), 2, FALSE), """")"),36.55)</f>
        <v>36.55</v>
      </c>
      <c r="M53" s="196">
        <f>IFERROR(__xludf.DUMMYFUNCTION("IFERROR(VLOOKUP($A53, GOOGLEFINANCE(M$1, ""price"", $A$2, TODAY()), 2, FALSE), """")"),37.08)</f>
        <v>37.08</v>
      </c>
      <c r="O53" s="18">
        <v>0.18101434096036095</v>
      </c>
      <c r="P53" s="18">
        <v>0.17759023525620368</v>
      </c>
      <c r="Q53" s="18">
        <v>0.08846277795681598</v>
      </c>
      <c r="R53" s="18">
        <v>0.17348130841121492</v>
      </c>
      <c r="S53" s="18">
        <v>0.26784563325813726</v>
      </c>
      <c r="T53" s="18">
        <v>0.15378262971318077</v>
      </c>
      <c r="U53" s="18">
        <v>0.23449081533999355</v>
      </c>
      <c r="V53" s="18">
        <v>0.07698195294875926</v>
      </c>
      <c r="W53" s="18">
        <v>0.07480663873670641</v>
      </c>
      <c r="X53" s="18">
        <v>0.07361827263938124</v>
      </c>
      <c r="Y53" s="196">
        <v>0.07468578794714792</v>
      </c>
      <c r="AA53" s="18">
        <v>-0.031208363925339544</v>
      </c>
      <c r="AB53" s="18">
        <v>0.010844747232267471</v>
      </c>
      <c r="AC53" s="18">
        <v>0.0061026879069989715</v>
      </c>
      <c r="AD53" s="18">
        <v>0.01254246243571</v>
      </c>
      <c r="AE53" s="18">
        <v>0.04580209816186498</v>
      </c>
      <c r="AF53" s="18">
        <v>0.02030210490069262</v>
      </c>
      <c r="AG53" s="18">
        <v>-0.0022587476459521305</v>
      </c>
      <c r="AH53" s="18">
        <v>0.04695845496540496</v>
      </c>
      <c r="AI53" s="18">
        <v>-0.005027287203346553</v>
      </c>
      <c r="AJ53" s="18">
        <v>0.01899895864206358</v>
      </c>
      <c r="AK53" s="18">
        <v>0.007826969333990741</v>
      </c>
    </row>
    <row r="54">
      <c r="A54" s="230">
        <f>IFERROR(__xludf.DUMMYFUNCTION("""COMPUTED_VALUE"""),45756.66666666667)</f>
        <v>45756.66667</v>
      </c>
      <c r="B54" s="18">
        <f>IFERROR(__xludf.DUMMYFUNCTION("""COMPUTED_VALUE"""),548.62)</f>
        <v>548.62</v>
      </c>
      <c r="C54" s="18">
        <f>IFERROR(__xludf.DUMMYFUNCTION("IFERROR(VLOOKUP($A54, GOOGLEFINANCE(C$1, ""price"", $A$2, TODAY()), 2, FALSE), """")"),101.93)</f>
        <v>101.93</v>
      </c>
      <c r="D54" s="18">
        <f>IFERROR(__xludf.DUMMYFUNCTION("IFERROR(VLOOKUP($A54, GOOGLEFINANCE(D$1, ""price"", $A$2, TODAY()), 2, FALSE), """")"),97.77)</f>
        <v>97.77</v>
      </c>
      <c r="E54" s="18">
        <f>IFERROR(__xludf.DUMMYFUNCTION("IFERROR(VLOOKUP($A54, GOOGLEFINANCE(E$1, ""price"", $A$2, TODAY()), 2, FALSE), """")"),47.23)</f>
        <v>47.23</v>
      </c>
      <c r="F54" s="18">
        <f>IFERROR(__xludf.DUMMYFUNCTION("IFERROR(VLOOKUP($A54, GOOGLEFINANCE(F$1, ""price"", $A$2, TODAY()), 2, FALSE), """")"),93.74)</f>
        <v>93.74</v>
      </c>
      <c r="G54" s="18">
        <f>IFERROR(__xludf.DUMMYFUNCTION("IFERROR(VLOOKUP($A54, GOOGLEFINANCE(G$1, ""price"", $A$2, TODAY()), 2, FALSE), """")"),138.76)</f>
        <v>138.76</v>
      </c>
      <c r="H54" s="18">
        <f>IFERROR(__xludf.DUMMYFUNCTION("IFERROR(VLOOKUP($A54, GOOGLEFINANCE(H$1, ""price"", $A$2, TODAY()), 2, FALSE), """")"),79.31)</f>
        <v>79.31</v>
      </c>
      <c r="I54" s="18">
        <f>IFERROR(__xludf.DUMMYFUNCTION("IFERROR(VLOOKUP($A54, GOOGLEFINANCE(I$1, ""price"", $A$2, TODAY()), 2, FALSE), """")"),126.76)</f>
        <v>126.76</v>
      </c>
      <c r="J54" s="18">
        <f>IFERROR(__xludf.DUMMYFUNCTION("IFERROR(VLOOKUP($A54, GOOGLEFINANCE(J$1, ""price"", $A$2, TODAY()), 2, FALSE), """")"),41.18)</f>
        <v>41.18</v>
      </c>
      <c r="K54" s="18">
        <f>IFERROR(__xludf.DUMMYFUNCTION("IFERROR(VLOOKUP($A54, GOOGLEFINANCE(K$1, ""price"", $A$2, TODAY()), 2, FALSE), """")"),40.38)</f>
        <v>40.38</v>
      </c>
      <c r="L54" s="18">
        <f>IFERROR(__xludf.DUMMYFUNCTION("IFERROR(VLOOKUP($A54, GOOGLEFINANCE(L$1, ""price"", $A$2, TODAY()), 2, FALSE), """")"),37.99)</f>
        <v>37.99</v>
      </c>
      <c r="M54" s="196">
        <f>IFERROR(__xludf.DUMMYFUNCTION("IFERROR(VLOOKUP($A54, GOOGLEFINANCE(M$1, ""price"", $A$2, TODAY()), 2, FALSE), """")"),39.21)</f>
        <v>39.21</v>
      </c>
      <c r="O54" s="18">
        <v>0.18579344537202436</v>
      </c>
      <c r="P54" s="18">
        <v>0.17821078342021798</v>
      </c>
      <c r="Q54" s="18">
        <v>0.08608873172687834</v>
      </c>
      <c r="R54" s="18">
        <v>0.1708650796544056</v>
      </c>
      <c r="S54" s="18">
        <v>0.2529255222193868</v>
      </c>
      <c r="T54" s="18">
        <v>0.14456272100907733</v>
      </c>
      <c r="U54" s="18">
        <v>0.2310524588968685</v>
      </c>
      <c r="V54" s="18">
        <v>0.07506106230177537</v>
      </c>
      <c r="W54" s="18">
        <v>0.07360285808027414</v>
      </c>
      <c r="X54" s="18">
        <v>0.06924647296853925</v>
      </c>
      <c r="Y54" s="196">
        <v>0.0714702344063286</v>
      </c>
      <c r="AA54" s="18">
        <v>0.0072626082328624</v>
      </c>
      <c r="AB54" s="18">
        <v>0.016915766529220333</v>
      </c>
      <c r="AC54" s="18">
        <v>-0.027436004307954787</v>
      </c>
      <c r="AD54" s="18">
        <v>0.0020856607289394535</v>
      </c>
      <c r="AE54" s="18">
        <v>-0.024485802261039913</v>
      </c>
      <c r="AF54" s="18">
        <v>-0.05201047996966579</v>
      </c>
      <c r="AG54" s="18">
        <v>-0.02539692229395052</v>
      </c>
      <c r="AH54" s="18">
        <v>-0.0098720700238083</v>
      </c>
      <c r="AI54" s="18">
        <v>-0.03516014018760838</v>
      </c>
      <c r="AJ54" s="18">
        <v>-0.05429719457931048</v>
      </c>
      <c r="AK54" s="18">
        <v>-0.05652829186261443</v>
      </c>
    </row>
    <row r="55">
      <c r="A55" s="230">
        <f>IFERROR(__xludf.DUMMYFUNCTION("""COMPUTED_VALUE"""),45757.66666666667)</f>
        <v>45757.66667</v>
      </c>
      <c r="B55" s="18">
        <f>IFERROR(__xludf.DUMMYFUNCTION("""COMPUTED_VALUE"""),524.58)</f>
        <v>524.58</v>
      </c>
      <c r="C55" s="18">
        <f>IFERROR(__xludf.DUMMYFUNCTION("IFERROR(VLOOKUP($A55, GOOGLEFINANCE(C$1, ""price"", $A$2, TODAY()), 2, FALSE), """")"),97.19)</f>
        <v>97.19</v>
      </c>
      <c r="D55" s="18">
        <f>IFERROR(__xludf.DUMMYFUNCTION("IFERROR(VLOOKUP($A55, GOOGLEFINANCE(D$1, ""price"", $A$2, TODAY()), 2, FALSE), """")"),93.95)</f>
        <v>93.95</v>
      </c>
      <c r="E55" s="18">
        <f>IFERROR(__xludf.DUMMYFUNCTION("IFERROR(VLOOKUP($A55, GOOGLEFINANCE(E$1, ""price"", $A$2, TODAY()), 2, FALSE), """")"),45.91)</f>
        <v>45.91</v>
      </c>
      <c r="F55" s="18">
        <f>IFERROR(__xludf.DUMMYFUNCTION("IFERROR(VLOOKUP($A55, GOOGLEFINANCE(F$1, ""price"", $A$2, TODAY()), 2, FALSE), """")"),90.5)</f>
        <v>90.5</v>
      </c>
      <c r="G55" s="18">
        <f>IFERROR(__xludf.DUMMYFUNCTION("IFERROR(VLOOKUP($A55, GOOGLEFINANCE(G$1, ""price"", $A$2, TODAY()), 2, FALSE), """")"),134.89)</f>
        <v>134.89</v>
      </c>
      <c r="H55" s="18">
        <f>IFERROR(__xludf.DUMMYFUNCTION("IFERROR(VLOOKUP($A55, GOOGLEFINANCE(H$1, ""price"", $A$2, TODAY()), 2, FALSE), """")"),79.35)</f>
        <v>79.35</v>
      </c>
      <c r="I55" s="18">
        <f>IFERROR(__xludf.DUMMYFUNCTION("IFERROR(VLOOKUP($A55, GOOGLEFINANCE(I$1, ""price"", $A$2, TODAY()), 2, FALSE), """")"),123.49)</f>
        <v>123.49</v>
      </c>
      <c r="J55" s="18">
        <f>IFERROR(__xludf.DUMMYFUNCTION("IFERROR(VLOOKUP($A55, GOOGLEFINANCE(J$1, ""price"", $A$2, TODAY()), 2, FALSE), """")"),38.49)</f>
        <v>38.49</v>
      </c>
      <c r="K55" s="18">
        <f>IFERROR(__xludf.DUMMYFUNCTION("IFERROR(VLOOKUP($A55, GOOGLEFINANCE(K$1, ""price"", $A$2, TODAY()), 2, FALSE), """")"),39.09)</f>
        <v>39.09</v>
      </c>
      <c r="L55" s="18">
        <f>IFERROR(__xludf.DUMMYFUNCTION("IFERROR(VLOOKUP($A55, GOOGLEFINANCE(L$1, ""price"", $A$2, TODAY()), 2, FALSE), """")"),37.7)</f>
        <v>37.7</v>
      </c>
      <c r="M55" s="196">
        <f>IFERROR(__xludf.DUMMYFUNCTION("IFERROR(VLOOKUP($A55, GOOGLEFINANCE(M$1, ""price"", $A$2, TODAY()), 2, FALSE), """")"),38.38)</f>
        <v>38.38</v>
      </c>
      <c r="O55" s="18">
        <v>0.18527202714552593</v>
      </c>
      <c r="P55" s="18">
        <v>0.17909565747836365</v>
      </c>
      <c r="Q55" s="18">
        <v>0.08751763315414235</v>
      </c>
      <c r="R55" s="18">
        <v>0.17251896755499638</v>
      </c>
      <c r="S55" s="18">
        <v>0.25713904456898845</v>
      </c>
      <c r="T55" s="18">
        <v>0.15126386823744709</v>
      </c>
      <c r="U55" s="18">
        <v>0.23540737351786187</v>
      </c>
      <c r="V55" s="18">
        <v>0.07337298410156697</v>
      </c>
      <c r="W55" s="18">
        <v>0.07451675626215258</v>
      </c>
      <c r="X55" s="18">
        <v>0.07186701742346258</v>
      </c>
      <c r="Y55" s="196">
        <v>0.07316329253879293</v>
      </c>
      <c r="AA55" s="18">
        <v>0.011397363991250575</v>
      </c>
      <c r="AB55" s="18">
        <v>0.017019903486358068</v>
      </c>
      <c r="AC55" s="18">
        <v>-0.012429640542935272</v>
      </c>
      <c r="AD55" s="18">
        <v>0.006714440867150451</v>
      </c>
      <c r="AE55" s="18">
        <v>-9.55314402825258E-4</v>
      </c>
      <c r="AF55" s="18">
        <v>-0.027399378540680086</v>
      </c>
      <c r="AG55" s="18">
        <v>-0.011007218726754475</v>
      </c>
      <c r="AH55" s="18">
        <v>-0.05216509052991747</v>
      </c>
      <c r="AI55" s="18">
        <v>-0.028569448638936734</v>
      </c>
      <c r="AJ55" s="18">
        <v>-0.02721736585536305</v>
      </c>
      <c r="AK55" s="18">
        <v>-0.04786430592469759</v>
      </c>
    </row>
    <row r="56">
      <c r="A56" s="230">
        <f>IFERROR(__xludf.DUMMYFUNCTION("""COMPUTED_VALUE"""),45758.66666666667)</f>
        <v>45758.66667</v>
      </c>
      <c r="B56" s="18">
        <f>IFERROR(__xludf.DUMMYFUNCTION("""COMPUTED_VALUE"""),533.94)</f>
        <v>533.94</v>
      </c>
      <c r="C56" s="18">
        <f>IFERROR(__xludf.DUMMYFUNCTION("IFERROR(VLOOKUP($A56, GOOGLEFINANCE(C$1, ""price"", $A$2, TODAY()), 2, FALSE), """")"),99.18)</f>
        <v>99.18</v>
      </c>
      <c r="D56" s="18">
        <f>IFERROR(__xludf.DUMMYFUNCTION("IFERROR(VLOOKUP($A56, GOOGLEFINANCE(D$1, ""price"", $A$2, TODAY()), 2, FALSE), """")"),94.86)</f>
        <v>94.86</v>
      </c>
      <c r="E56" s="18">
        <f>IFERROR(__xludf.DUMMYFUNCTION("IFERROR(VLOOKUP($A56, GOOGLEFINANCE(E$1, ""price"", $A$2, TODAY()), 2, FALSE), """")"),46.67)</f>
        <v>46.67</v>
      </c>
      <c r="F56" s="18">
        <f>IFERROR(__xludf.DUMMYFUNCTION("IFERROR(VLOOKUP($A56, GOOGLEFINANCE(F$1, ""price"", $A$2, TODAY()), 2, FALSE), """")"),91.27)</f>
        <v>91.27</v>
      </c>
      <c r="G56" s="18">
        <f>IFERROR(__xludf.DUMMYFUNCTION("IFERROR(VLOOKUP($A56, GOOGLEFINANCE(G$1, ""price"", $A$2, TODAY()), 2, FALSE), """")"),136.87)</f>
        <v>136.87</v>
      </c>
      <c r="H56" s="18">
        <f>IFERROR(__xludf.DUMMYFUNCTION("IFERROR(VLOOKUP($A56, GOOGLEFINANCE(H$1, ""price"", $A$2, TODAY()), 2, FALSE), """")"),80.35)</f>
        <v>80.35</v>
      </c>
      <c r="I56" s="18">
        <f>IFERROR(__xludf.DUMMYFUNCTION("IFERROR(VLOOKUP($A56, GOOGLEFINANCE(I$1, ""price"", $A$2, TODAY()), 2, FALSE), """")"),125.67)</f>
        <v>125.67</v>
      </c>
      <c r="J56" s="18">
        <f>IFERROR(__xludf.DUMMYFUNCTION("IFERROR(VLOOKUP($A56, GOOGLEFINANCE(J$1, ""price"", $A$2, TODAY()), 2, FALSE), """")"),39.45)</f>
        <v>39.45</v>
      </c>
      <c r="K56" s="18">
        <f>IFERROR(__xludf.DUMMYFUNCTION("IFERROR(VLOOKUP($A56, GOOGLEFINANCE(K$1, ""price"", $A$2, TODAY()), 2, FALSE), """")"),40.25)</f>
        <v>40.25</v>
      </c>
      <c r="L56" s="18">
        <f>IFERROR(__xludf.DUMMYFUNCTION("IFERROR(VLOOKUP($A56, GOOGLEFINANCE(L$1, ""price"", $A$2, TODAY()), 2, FALSE), """")"),38.16)</f>
        <v>38.16</v>
      </c>
      <c r="M56" s="196">
        <f>IFERROR(__xludf.DUMMYFUNCTION("IFERROR(VLOOKUP($A56, GOOGLEFINANCE(M$1, ""price"", $A$2, TODAY()), 2, FALSE), """")"),38.92)</f>
        <v>38.92</v>
      </c>
      <c r="O56" s="18">
        <v>0.18575120800089898</v>
      </c>
      <c r="P56" s="18">
        <v>0.1776604112821665</v>
      </c>
      <c r="Q56" s="18">
        <v>0.08740682473686182</v>
      </c>
      <c r="R56" s="18">
        <v>0.17093680937933098</v>
      </c>
      <c r="S56" s="18">
        <v>0.2563396636326179</v>
      </c>
      <c r="T56" s="18">
        <v>0.15048507322920177</v>
      </c>
      <c r="U56" s="18">
        <v>0.23536352399145968</v>
      </c>
      <c r="V56" s="18">
        <v>0.07388470614675806</v>
      </c>
      <c r="W56" s="18">
        <v>0.07538300183541222</v>
      </c>
      <c r="X56" s="18">
        <v>0.07146870434880322</v>
      </c>
      <c r="Y56" s="196">
        <v>0.07289208525302468</v>
      </c>
      <c r="AA56" s="18">
        <v>0.016114868719416364</v>
      </c>
      <c r="AB56" s="18">
        <v>0.011815717052861663</v>
      </c>
      <c r="AC56" s="18">
        <v>-0.01606529910671295</v>
      </c>
      <c r="AD56" s="18">
        <v>-0.003844322932063937</v>
      </c>
      <c r="AE56" s="18">
        <v>-0.0063526714375071736</v>
      </c>
      <c r="AF56" s="18">
        <v>-0.046352578233787134</v>
      </c>
      <c r="AG56" s="18">
        <v>-0.01258382146517012</v>
      </c>
      <c r="AH56" s="18">
        <v>-0.0433894483573688</v>
      </c>
      <c r="AI56" s="18">
        <v>-0.025708828390804128</v>
      </c>
      <c r="AJ56" s="18">
        <v>-0.03275381114661591</v>
      </c>
      <c r="AK56" s="18">
        <v>-0.05433514845179688</v>
      </c>
    </row>
    <row r="57">
      <c r="A57" s="230">
        <f>IFERROR(__xludf.DUMMYFUNCTION("""COMPUTED_VALUE"""),45761.66666666667)</f>
        <v>45761.66667</v>
      </c>
      <c r="B57" s="18">
        <f>IFERROR(__xludf.DUMMYFUNCTION("""COMPUTED_VALUE"""),539.12)</f>
        <v>539.12</v>
      </c>
      <c r="C57" s="18">
        <f>IFERROR(__xludf.DUMMYFUNCTION("IFERROR(VLOOKUP($A57, GOOGLEFINANCE(C$1, ""price"", $A$2, TODAY()), 2, FALSE), """")"),100.08)</f>
        <v>100.08</v>
      </c>
      <c r="D57" s="18">
        <f>IFERROR(__xludf.DUMMYFUNCTION("IFERROR(VLOOKUP($A57, GOOGLEFINANCE(D$1, ""price"", $A$2, TODAY()), 2, FALSE), """")"),95.14)</f>
        <v>95.14</v>
      </c>
      <c r="E57" s="18">
        <f>IFERROR(__xludf.DUMMYFUNCTION("IFERROR(VLOOKUP($A57, GOOGLEFINANCE(E$1, ""price"", $A$2, TODAY()), 2, FALSE), """")"),47.15)</f>
        <v>47.15</v>
      </c>
      <c r="F57" s="18">
        <f>IFERROR(__xludf.DUMMYFUNCTION("IFERROR(VLOOKUP($A57, GOOGLEFINANCE(F$1, ""price"", $A$2, TODAY()), 2, FALSE), """")"),91.88)</f>
        <v>91.88</v>
      </c>
      <c r="G57" s="18">
        <f>IFERROR(__xludf.DUMMYFUNCTION("IFERROR(VLOOKUP($A57, GOOGLEFINANCE(G$1, ""price"", $A$2, TODAY()), 2, FALSE), """")"),138.54)</f>
        <v>138.54</v>
      </c>
      <c r="H57" s="18">
        <f>IFERROR(__xludf.DUMMYFUNCTION("IFERROR(VLOOKUP($A57, GOOGLEFINANCE(H$1, ""price"", $A$2, TODAY()), 2, FALSE), """")"),81.72)</f>
        <v>81.72</v>
      </c>
      <c r="I57" s="18">
        <f>IFERROR(__xludf.DUMMYFUNCTION("IFERROR(VLOOKUP($A57, GOOGLEFINANCE(I$1, ""price"", $A$2, TODAY()), 2, FALSE), """")"),126.98)</f>
        <v>126.98</v>
      </c>
      <c r="J57" s="18">
        <f>IFERROR(__xludf.DUMMYFUNCTION("IFERROR(VLOOKUP($A57, GOOGLEFINANCE(J$1, ""price"", $A$2, TODAY()), 2, FALSE), """")"),39.59)</f>
        <v>39.59</v>
      </c>
      <c r="K57" s="18">
        <f>IFERROR(__xludf.DUMMYFUNCTION("IFERROR(VLOOKUP($A57, GOOGLEFINANCE(K$1, ""price"", $A$2, TODAY()), 2, FALSE), """")"),40.74)</f>
        <v>40.74</v>
      </c>
      <c r="L57" s="18">
        <f>IFERROR(__xludf.DUMMYFUNCTION("IFERROR(VLOOKUP($A57, GOOGLEFINANCE(L$1, ""price"", $A$2, TODAY()), 2, FALSE), """")"),38.85)</f>
        <v>38.85</v>
      </c>
      <c r="M57" s="196">
        <f>IFERROR(__xludf.DUMMYFUNCTION("IFERROR(VLOOKUP($A57, GOOGLEFINANCE(M$1, ""price"", $A$2, TODAY()), 2, FALSE), """")"),39.78)</f>
        <v>39.78</v>
      </c>
      <c r="O57" s="18">
        <v>0.1856358510164713</v>
      </c>
      <c r="P57" s="18">
        <v>0.1764727704407182</v>
      </c>
      <c r="Q57" s="18">
        <v>0.08745733788395904</v>
      </c>
      <c r="R57" s="18">
        <v>0.17042587921056535</v>
      </c>
      <c r="S57" s="18">
        <v>0.256974328535391</v>
      </c>
      <c r="T57" s="18">
        <v>0.15158035316812582</v>
      </c>
      <c r="U57" s="18">
        <v>0.23553197803828463</v>
      </c>
      <c r="V57" s="18">
        <v>0.07343448582875799</v>
      </c>
      <c r="W57" s="18">
        <v>0.07556759163080576</v>
      </c>
      <c r="X57" s="18">
        <v>0.0720618786170055</v>
      </c>
      <c r="Y57" s="196">
        <v>0.07378691200474848</v>
      </c>
      <c r="AA57" s="18">
        <v>0.01711007428488509</v>
      </c>
      <c r="AB57" s="18">
        <v>-3.7313907532565693E-4</v>
      </c>
      <c r="AC57" s="18">
        <v>-0.022224737079783563</v>
      </c>
      <c r="AD57" s="18">
        <v>-0.006885004268671779</v>
      </c>
      <c r="AE57" s="18">
        <v>0.00318165793191838</v>
      </c>
      <c r="AF57" s="18">
        <v>-0.02820110398961162</v>
      </c>
      <c r="AG57" s="18">
        <v>-0.0035767036774004834</v>
      </c>
      <c r="AH57" s="18">
        <v>-0.048689615400180686</v>
      </c>
      <c r="AI57" s="18">
        <v>-0.020815613483845197</v>
      </c>
      <c r="AJ57" s="18">
        <v>-0.02577883331240649</v>
      </c>
      <c r="AK57" s="18">
        <v>-0.037502489992488064</v>
      </c>
    </row>
    <row r="58">
      <c r="A58" s="230">
        <f>IFERROR(__xludf.DUMMYFUNCTION("""COMPUTED_VALUE"""),45762.66666666667)</f>
        <v>45762.66667</v>
      </c>
      <c r="B58" s="18">
        <f>IFERROR(__xludf.DUMMYFUNCTION("""COMPUTED_VALUE"""),537.61)</f>
        <v>537.61</v>
      </c>
      <c r="C58" s="18">
        <f>IFERROR(__xludf.DUMMYFUNCTION("IFERROR(VLOOKUP($A58, GOOGLEFINANCE(C$1, ""price"", $A$2, TODAY()), 2, FALSE), """")"),100.45)</f>
        <v>100.45</v>
      </c>
      <c r="D58" s="18">
        <f>IFERROR(__xludf.DUMMYFUNCTION("IFERROR(VLOOKUP($A58, GOOGLEFINANCE(D$1, ""price"", $A$2, TODAY()), 2, FALSE), """")"),94.45)</f>
        <v>94.45</v>
      </c>
      <c r="E58" s="18">
        <f>IFERROR(__xludf.DUMMYFUNCTION("IFERROR(VLOOKUP($A58, GOOGLEFINANCE(E$1, ""price"", $A$2, TODAY()), 2, FALSE), """")"),47.27)</f>
        <v>47.27</v>
      </c>
      <c r="F58" s="18">
        <f>IFERROR(__xludf.DUMMYFUNCTION("IFERROR(VLOOKUP($A58, GOOGLEFINANCE(F$1, ""price"", $A$2, TODAY()), 2, FALSE), """")"),92.11)</f>
        <v>92.11</v>
      </c>
      <c r="G58" s="18">
        <f>IFERROR(__xludf.DUMMYFUNCTION("IFERROR(VLOOKUP($A58, GOOGLEFINANCE(G$1, ""price"", $A$2, TODAY()), 2, FALSE), """")"),137.69)</f>
        <v>137.69</v>
      </c>
      <c r="H58" s="18">
        <f>IFERROR(__xludf.DUMMYFUNCTION("IFERROR(VLOOKUP($A58, GOOGLEFINANCE(H$1, ""price"", $A$2, TODAY()), 2, FALSE), """")"),81.03)</f>
        <v>81.03</v>
      </c>
      <c r="I58" s="18">
        <f>IFERROR(__xludf.DUMMYFUNCTION("IFERROR(VLOOKUP($A58, GOOGLEFINANCE(I$1, ""price"", $A$2, TODAY()), 2, FALSE), """")"),126.35)</f>
        <v>126.35</v>
      </c>
      <c r="J58" s="18">
        <f>IFERROR(__xludf.DUMMYFUNCTION("IFERROR(VLOOKUP($A58, GOOGLEFINANCE(J$1, ""price"", $A$2, TODAY()), 2, FALSE), """")"),39.53)</f>
        <v>39.53</v>
      </c>
      <c r="K58" s="18">
        <f>IFERROR(__xludf.DUMMYFUNCTION("IFERROR(VLOOKUP($A58, GOOGLEFINANCE(K$1, ""price"", $A$2, TODAY()), 2, FALSE), """")"),40.42)</f>
        <v>40.42</v>
      </c>
      <c r="L58" s="18">
        <f>IFERROR(__xludf.DUMMYFUNCTION("IFERROR(VLOOKUP($A58, GOOGLEFINANCE(L$1, ""price"", $A$2, TODAY()), 2, FALSE), """")"),38.84)</f>
        <v>38.84</v>
      </c>
      <c r="M58" s="196">
        <f>IFERROR(__xludf.DUMMYFUNCTION("IFERROR(VLOOKUP($A58, GOOGLEFINANCE(M$1, ""price"", $A$2, TODAY()), 2, FALSE), """")"),39.84)</f>
        <v>39.84</v>
      </c>
      <c r="O58" s="18">
        <v>0.18684548278491844</v>
      </c>
      <c r="P58" s="18">
        <v>0.17568497609791484</v>
      </c>
      <c r="Q58" s="18">
        <v>0.08792619184910995</v>
      </c>
      <c r="R58" s="18">
        <v>0.17133237848998345</v>
      </c>
      <c r="S58" s="18">
        <v>0.256115027622254</v>
      </c>
      <c r="T58" s="18">
        <v>0.15072264280798348</v>
      </c>
      <c r="U58" s="18">
        <v>0.23502166998381724</v>
      </c>
      <c r="V58" s="18">
        <v>0.07352913822287532</v>
      </c>
      <c r="W58" s="18">
        <v>0.07518461338144752</v>
      </c>
      <c r="X58" s="18">
        <v>0.0722456799538699</v>
      </c>
      <c r="Y58" s="196">
        <v>0.07410576440170384</v>
      </c>
      <c r="AA58" s="18">
        <v>0.010309113236730116</v>
      </c>
      <c r="AB58" s="18">
        <v>-0.011504309559210113</v>
      </c>
      <c r="AC58" s="18">
        <v>-0.013465179382848858</v>
      </c>
      <c r="AD58" s="18">
        <v>-0.0021235495365287127</v>
      </c>
      <c r="AE58" s="18">
        <v>0.010308023940965638</v>
      </c>
      <c r="AF58" s="18">
        <v>-0.013086493674324129</v>
      </c>
      <c r="AG58" s="18">
        <v>-0.0028108206455708107</v>
      </c>
      <c r="AH58" s="18">
        <v>-0.03079834595539377</v>
      </c>
      <c r="AI58" s="18">
        <v>-0.01189627646797664</v>
      </c>
      <c r="AJ58" s="18">
        <v>-0.012464080650982479</v>
      </c>
      <c r="AK58" s="18">
        <v>-0.0195772578215897</v>
      </c>
    </row>
    <row r="59">
      <c r="A59" s="230">
        <f>IFERROR(__xludf.DUMMYFUNCTION("""COMPUTED_VALUE"""),45763.66666666667)</f>
        <v>45763.66667</v>
      </c>
      <c r="B59" s="18">
        <f>IFERROR(__xludf.DUMMYFUNCTION("""COMPUTED_VALUE"""),525.66)</f>
        <v>525.66</v>
      </c>
      <c r="C59" s="18">
        <f>IFERROR(__xludf.DUMMYFUNCTION("IFERROR(VLOOKUP($A59, GOOGLEFINANCE(C$1, ""price"", $A$2, TODAY()), 2, FALSE), """")"),96.96)</f>
        <v>96.96</v>
      </c>
      <c r="D59" s="18">
        <f>IFERROR(__xludf.DUMMYFUNCTION("IFERROR(VLOOKUP($A59, GOOGLEFINANCE(D$1, ""price"", $A$2, TODAY()), 2, FALSE), """")"),92.12)</f>
        <v>92.12</v>
      </c>
      <c r="E59" s="18">
        <f>IFERROR(__xludf.DUMMYFUNCTION("IFERROR(VLOOKUP($A59, GOOGLEFINANCE(E$1, ""price"", $A$2, TODAY()), 2, FALSE), """")"),46.53)</f>
        <v>46.53</v>
      </c>
      <c r="F59" s="18">
        <f>IFERROR(__xludf.DUMMYFUNCTION("IFERROR(VLOOKUP($A59, GOOGLEFINANCE(F$1, ""price"", $A$2, TODAY()), 2, FALSE), """")"),89.63)</f>
        <v>89.63</v>
      </c>
      <c r="G59" s="18">
        <f>IFERROR(__xludf.DUMMYFUNCTION("IFERROR(VLOOKUP($A59, GOOGLEFINANCE(G$1, ""price"", $A$2, TODAY()), 2, FALSE), """")"),136.29)</f>
        <v>136.29</v>
      </c>
      <c r="H59" s="18">
        <f>IFERROR(__xludf.DUMMYFUNCTION("IFERROR(VLOOKUP($A59, GOOGLEFINANCE(H$1, ""price"", $A$2, TODAY()), 2, FALSE), """")"),80.16)</f>
        <v>80.16</v>
      </c>
      <c r="I59" s="18">
        <f>IFERROR(__xludf.DUMMYFUNCTION("IFERROR(VLOOKUP($A59, GOOGLEFINANCE(I$1, ""price"", $A$2, TODAY()), 2, FALSE), """")"),124.62)</f>
        <v>124.62</v>
      </c>
      <c r="J59" s="18">
        <f>IFERROR(__xludf.DUMMYFUNCTION("IFERROR(VLOOKUP($A59, GOOGLEFINANCE(J$1, ""price"", $A$2, TODAY()), 2, FALSE), """")"),39.85)</f>
        <v>39.85</v>
      </c>
      <c r="K59" s="18">
        <f>IFERROR(__xludf.DUMMYFUNCTION("IFERROR(VLOOKUP($A59, GOOGLEFINANCE(K$1, ""price"", $A$2, TODAY()), 2, FALSE), """")"),40.1)</f>
        <v>40.1</v>
      </c>
      <c r="L59" s="18">
        <f>IFERROR(__xludf.DUMMYFUNCTION("IFERROR(VLOOKUP($A59, GOOGLEFINANCE(L$1, ""price"", $A$2, TODAY()), 2, FALSE), """")"),38.49)</f>
        <v>38.49</v>
      </c>
      <c r="M59" s="196">
        <f>IFERROR(__xludf.DUMMYFUNCTION("IFERROR(VLOOKUP($A59, GOOGLEFINANCE(M$1, ""price"", $A$2, TODAY()), 2, FALSE), """")"),39.82)</f>
        <v>39.82</v>
      </c>
      <c r="O59" s="18">
        <v>0.1844538294715215</v>
      </c>
      <c r="P59" s="18">
        <v>0.17524635696077315</v>
      </c>
      <c r="Q59" s="18">
        <v>0.08851729254651296</v>
      </c>
      <c r="R59" s="18">
        <v>0.1705094547806567</v>
      </c>
      <c r="S59" s="18">
        <v>0.2592740554731195</v>
      </c>
      <c r="T59" s="18">
        <v>0.1524940075333866</v>
      </c>
      <c r="U59" s="18">
        <v>0.23707339344823652</v>
      </c>
      <c r="V59" s="18">
        <v>0.07580945858539741</v>
      </c>
      <c r="W59" s="18">
        <v>0.07628505117376251</v>
      </c>
      <c r="X59" s="18">
        <v>0.07322223490469125</v>
      </c>
      <c r="Y59" s="196">
        <v>0.0757523874747936</v>
      </c>
      <c r="AA59" s="18">
        <v>-0.018311292505976406</v>
      </c>
      <c r="AB59" s="18">
        <v>-0.012925706914433621</v>
      </c>
      <c r="AC59" s="18">
        <v>0.0029330292694957905</v>
      </c>
      <c r="AD59" s="18">
        <v>-0.005910058291167419</v>
      </c>
      <c r="AE59" s="18">
        <v>0.03168013237207745</v>
      </c>
      <c r="AF59" s="18">
        <v>0.028586662287811482</v>
      </c>
      <c r="AG59" s="18">
        <v>0.004539245576007156</v>
      </c>
      <c r="AH59" s="18">
        <v>0.0042227505221932304</v>
      </c>
      <c r="AI59" s="18">
        <v>0.0020248588703564163</v>
      </c>
      <c r="AJ59" s="18">
        <v>0.020389079787042297</v>
      </c>
      <c r="AK59" s="18">
        <v>0.02027772132532446</v>
      </c>
    </row>
    <row r="60">
      <c r="A60" s="230">
        <f>IFERROR(__xludf.DUMMYFUNCTION("""COMPUTED_VALUE"""),45764.66666666667)</f>
        <v>45764.66667</v>
      </c>
      <c r="B60" s="18">
        <f>IFERROR(__xludf.DUMMYFUNCTION("""COMPUTED_VALUE"""),526.41)</f>
        <v>526.41</v>
      </c>
      <c r="C60" s="18">
        <f>IFERROR(__xludf.DUMMYFUNCTION("IFERROR(VLOOKUP($A60, GOOGLEFINANCE(C$1, ""price"", $A$2, TODAY()), 2, FALSE), """")"),96.43)</f>
        <v>96.43</v>
      </c>
      <c r="D60" s="18">
        <f>IFERROR(__xludf.DUMMYFUNCTION("IFERROR(VLOOKUP($A60, GOOGLEFINANCE(D$1, ""price"", $A$2, TODAY()), 2, FALSE), """")"),92.7)</f>
        <v>92.7</v>
      </c>
      <c r="E60" s="18">
        <f>IFERROR(__xludf.DUMMYFUNCTION("IFERROR(VLOOKUP($A60, GOOGLEFINANCE(E$1, ""price"", $A$2, TODAY()), 2, FALSE), """")"),46.65)</f>
        <v>46.65</v>
      </c>
      <c r="F60" s="18">
        <f>IFERROR(__xludf.DUMMYFUNCTION("IFERROR(VLOOKUP($A60, GOOGLEFINANCE(F$1, ""price"", $A$2, TODAY()), 2, FALSE), """")"),90.21)</f>
        <v>90.21</v>
      </c>
      <c r="G60" s="18">
        <f>IFERROR(__xludf.DUMMYFUNCTION("IFERROR(VLOOKUP($A60, GOOGLEFINANCE(G$1, ""price"", $A$2, TODAY()), 2, FALSE), """")"),135.49)</f>
        <v>135.49</v>
      </c>
      <c r="H60" s="18">
        <f>IFERROR(__xludf.DUMMYFUNCTION("IFERROR(VLOOKUP($A60, GOOGLEFINANCE(H$1, ""price"", $A$2, TODAY()), 2, FALSE), """")"),81.87)</f>
        <v>81.87</v>
      </c>
      <c r="I60" s="18">
        <f>IFERROR(__xludf.DUMMYFUNCTION("IFERROR(VLOOKUP($A60, GOOGLEFINANCE(I$1, ""price"", $A$2, TODAY()), 2, FALSE), """")"),125.3)</f>
        <v>125.3</v>
      </c>
      <c r="J60" s="18">
        <f>IFERROR(__xludf.DUMMYFUNCTION("IFERROR(VLOOKUP($A60, GOOGLEFINANCE(J$1, ""price"", $A$2, TODAY()), 2, FALSE), """")"),40.75)</f>
        <v>40.75</v>
      </c>
      <c r="K60" s="18">
        <f>IFERROR(__xludf.DUMMYFUNCTION("IFERROR(VLOOKUP($A60, GOOGLEFINANCE(K$1, ""price"", $A$2, TODAY()), 2, FALSE), """")"),40.38)</f>
        <v>40.38</v>
      </c>
      <c r="L60" s="18">
        <f>IFERROR(__xludf.DUMMYFUNCTION("IFERROR(VLOOKUP($A60, GOOGLEFINANCE(L$1, ""price"", $A$2, TODAY()), 2, FALSE), """")"),38.89)</f>
        <v>38.89</v>
      </c>
      <c r="M60" s="196">
        <f>IFERROR(__xludf.DUMMYFUNCTION("IFERROR(VLOOKUP($A60, GOOGLEFINANCE(M$1, ""price"", $A$2, TODAY()), 2, FALSE), """")"),40.45)</f>
        <v>40.45</v>
      </c>
      <c r="O60" s="18">
        <v>0.1831842100264053</v>
      </c>
      <c r="P60" s="18">
        <v>0.17609847837237136</v>
      </c>
      <c r="Q60" s="18">
        <v>0.08861913717444578</v>
      </c>
      <c r="R60" s="18">
        <v>0.1713683250698125</v>
      </c>
      <c r="S60" s="18">
        <v>0.2573849280978705</v>
      </c>
      <c r="T60" s="18">
        <v>0.1555251609961817</v>
      </c>
      <c r="U60" s="18">
        <v>0.2380273930966357</v>
      </c>
      <c r="V60" s="18">
        <v>0.07741114340533045</v>
      </c>
      <c r="W60" s="18">
        <v>0.07670826921980967</v>
      </c>
      <c r="X60" s="18">
        <v>0.07387777587811782</v>
      </c>
      <c r="Y60" s="196">
        <v>0.07684124541707035</v>
      </c>
      <c r="AA60" s="18">
        <v>-0.032343117719303316</v>
      </c>
      <c r="AB60" s="18">
        <v>-0.01855398652871898</v>
      </c>
      <c r="AC60" s="18">
        <v>0.01618579120651442</v>
      </c>
      <c r="AD60" s="18">
        <v>2.389271345437649E-5</v>
      </c>
      <c r="AE60" s="18">
        <v>0.02663119744883291</v>
      </c>
      <c r="AF60" s="18">
        <v>0.05935644051134936</v>
      </c>
      <c r="AG60" s="18">
        <v>0.015947629910328498</v>
      </c>
      <c r="AH60" s="18">
        <v>0.034603689434736795</v>
      </c>
      <c r="AI60" s="18">
        <v>0.022479819975695703</v>
      </c>
      <c r="AJ60" s="18">
        <v>0.040410703568460216</v>
      </c>
      <c r="AK60" s="18">
        <v>0.043964060608330024</v>
      </c>
    </row>
    <row r="61">
      <c r="A61" s="230">
        <f>IFERROR(__xludf.DUMMYFUNCTION("""COMPUTED_VALUE"""),45768.66666666667)</f>
        <v>45768.66667</v>
      </c>
      <c r="B61" s="18">
        <f>IFERROR(__xludf.DUMMYFUNCTION("""COMPUTED_VALUE"""),513.88)</f>
        <v>513.88</v>
      </c>
      <c r="C61" s="18">
        <f>IFERROR(__xludf.DUMMYFUNCTION("IFERROR(VLOOKUP($A61, GOOGLEFINANCE(C$1, ""price"", $A$2, TODAY()), 2, FALSE), """")"),93.94)</f>
        <v>93.94</v>
      </c>
      <c r="D61" s="18">
        <f>IFERROR(__xludf.DUMMYFUNCTION("IFERROR(VLOOKUP($A61, GOOGLEFINANCE(D$1, ""price"", $A$2, TODAY()), 2, FALSE), """")"),90.23)</f>
        <v>90.23</v>
      </c>
      <c r="E61" s="18">
        <f>IFERROR(__xludf.DUMMYFUNCTION("IFERROR(VLOOKUP($A61, GOOGLEFINANCE(E$1, ""price"", $A$2, TODAY()), 2, FALSE), """")"),45.65)</f>
        <v>45.65</v>
      </c>
      <c r="F61" s="18">
        <f>IFERROR(__xludf.DUMMYFUNCTION("IFERROR(VLOOKUP($A61, GOOGLEFINANCE(F$1, ""price"", $A$2, TODAY()), 2, FALSE), """")"),88.18)</f>
        <v>88.18</v>
      </c>
      <c r="G61" s="18">
        <f>IFERROR(__xludf.DUMMYFUNCTION("IFERROR(VLOOKUP($A61, GOOGLEFINANCE(G$1, ""price"", $A$2, TODAY()), 2, FALSE), """")"),132.57)</f>
        <v>132.57</v>
      </c>
      <c r="H61" s="18">
        <f>IFERROR(__xludf.DUMMYFUNCTION("IFERROR(VLOOKUP($A61, GOOGLEFINANCE(H$1, ""price"", $A$2, TODAY()), 2, FALSE), """")"),81.09)</f>
        <v>81.09</v>
      </c>
      <c r="I61" s="18">
        <f>IFERROR(__xludf.DUMMYFUNCTION("IFERROR(VLOOKUP($A61, GOOGLEFINANCE(I$1, ""price"", $A$2, TODAY()), 2, FALSE), """")"),122.49)</f>
        <v>122.49</v>
      </c>
      <c r="J61" s="18">
        <f>IFERROR(__xludf.DUMMYFUNCTION("IFERROR(VLOOKUP($A61, GOOGLEFINANCE(J$1, ""price"", $A$2, TODAY()), 2, FALSE), """")"),39.69)</f>
        <v>39.69</v>
      </c>
      <c r="K61" s="18">
        <f>IFERROR(__xludf.DUMMYFUNCTION("IFERROR(VLOOKUP($A61, GOOGLEFINANCE(K$1, ""price"", $A$2, TODAY()), 2, FALSE), """")"),39.76)</f>
        <v>39.76</v>
      </c>
      <c r="L61" s="18">
        <f>IFERROR(__xludf.DUMMYFUNCTION("IFERROR(VLOOKUP($A61, GOOGLEFINANCE(L$1, ""price"", $A$2, TODAY()), 2, FALSE), """")"),37.97)</f>
        <v>37.97</v>
      </c>
      <c r="M61" s="196">
        <f>IFERROR(__xludf.DUMMYFUNCTION("IFERROR(VLOOKUP($A61, GOOGLEFINANCE(M$1, ""price"", $A$2, TODAY()), 2, FALSE), """")"),39.61)</f>
        <v>39.61</v>
      </c>
      <c r="O61" s="18">
        <v>0.18280532420020237</v>
      </c>
      <c r="P61" s="18">
        <v>0.17558573986144627</v>
      </c>
      <c r="Q61" s="18">
        <v>0.08883396902000466</v>
      </c>
      <c r="R61" s="18">
        <v>0.17159648166887212</v>
      </c>
      <c r="S61" s="18">
        <v>0.2579785163851483</v>
      </c>
      <c r="T61" s="18">
        <v>0.157799486261384</v>
      </c>
      <c r="U61" s="18">
        <v>0.2383630419553203</v>
      </c>
      <c r="V61" s="18">
        <v>0.07723593056744765</v>
      </c>
      <c r="W61" s="18">
        <v>0.07737214913987701</v>
      </c>
      <c r="X61" s="18">
        <v>0.07388884564489764</v>
      </c>
      <c r="Y61" s="196">
        <v>0.07708025219895695</v>
      </c>
      <c r="AA61" s="18">
        <v>-0.03239826236493237</v>
      </c>
      <c r="AB61" s="18">
        <v>-0.021434593254981094</v>
      </c>
      <c r="AC61" s="18">
        <v>0.015864476534556138</v>
      </c>
      <c r="AD61" s="18">
        <v>-0.0020700810040306106</v>
      </c>
      <c r="AE61" s="18">
        <v>0.025306390698116576</v>
      </c>
      <c r="AF61" s="18">
        <v>0.07886120152765752</v>
      </c>
      <c r="AG61" s="18">
        <v>0.014387219260570072</v>
      </c>
      <c r="AH61" s="18">
        <v>0.025437752544674286</v>
      </c>
      <c r="AI61" s="18">
        <v>0.02972815544095808</v>
      </c>
      <c r="AJ61" s="18">
        <v>0.0343499523123727</v>
      </c>
      <c r="AK61" s="18">
        <v>0.041188252177426055</v>
      </c>
    </row>
    <row r="62">
      <c r="A62" s="230">
        <f>IFERROR(__xludf.DUMMYFUNCTION("""COMPUTED_VALUE"""),45769.66666666667)</f>
        <v>45769.66667</v>
      </c>
      <c r="B62" s="18">
        <f>IFERROR(__xludf.DUMMYFUNCTION("""COMPUTED_VALUE"""),527.25)</f>
        <v>527.25</v>
      </c>
      <c r="C62" s="18">
        <f>IFERROR(__xludf.DUMMYFUNCTION("IFERROR(VLOOKUP($A62, GOOGLEFINANCE(C$1, ""price"", $A$2, TODAY()), 2, FALSE), """")"),96.23)</f>
        <v>96.23</v>
      </c>
      <c r="D62" s="18">
        <f>IFERROR(__xludf.DUMMYFUNCTION("IFERROR(VLOOKUP($A62, GOOGLEFINANCE(D$1, ""price"", $A$2, TODAY()), 2, FALSE), """")"),93.08)</f>
        <v>93.08</v>
      </c>
      <c r="E62" s="18">
        <f>IFERROR(__xludf.DUMMYFUNCTION("IFERROR(VLOOKUP($A62, GOOGLEFINANCE(E$1, ""price"", $A$2, TODAY()), 2, FALSE), """")"),47.16)</f>
        <v>47.16</v>
      </c>
      <c r="F62" s="18">
        <f>IFERROR(__xludf.DUMMYFUNCTION("IFERROR(VLOOKUP($A62, GOOGLEFINANCE(F$1, ""price"", $A$2, TODAY()), 2, FALSE), """")"),90.48)</f>
        <v>90.48</v>
      </c>
      <c r="G62" s="18">
        <f>IFERROR(__xludf.DUMMYFUNCTION("IFERROR(VLOOKUP($A62, GOOGLEFINANCE(G$1, ""price"", $A$2, TODAY()), 2, FALSE), """")"),135.06)</f>
        <v>135.06</v>
      </c>
      <c r="H62" s="18">
        <f>IFERROR(__xludf.DUMMYFUNCTION("IFERROR(VLOOKUP($A62, GOOGLEFINANCE(H$1, ""price"", $A$2, TODAY()), 2, FALSE), """")"),82.24)</f>
        <v>82.24</v>
      </c>
      <c r="I62" s="18">
        <f>IFERROR(__xludf.DUMMYFUNCTION("IFERROR(VLOOKUP($A62, GOOGLEFINANCE(I$1, ""price"", $A$2, TODAY()), 2, FALSE), """")"),124.63)</f>
        <v>124.63</v>
      </c>
      <c r="J62" s="18">
        <f>IFERROR(__xludf.DUMMYFUNCTION("IFERROR(VLOOKUP($A62, GOOGLEFINANCE(J$1, ""price"", $A$2, TODAY()), 2, FALSE), """")"),40.7)</f>
        <v>40.7</v>
      </c>
      <c r="K62" s="18">
        <f>IFERROR(__xludf.DUMMYFUNCTION("IFERROR(VLOOKUP($A62, GOOGLEFINANCE(K$1, ""price"", $A$2, TODAY()), 2, FALSE), """")"),40.69)</f>
        <v>40.69</v>
      </c>
      <c r="L62" s="18">
        <f>IFERROR(__xludf.DUMMYFUNCTION("IFERROR(VLOOKUP($A62, GOOGLEFINANCE(L$1, ""price"", $A$2, TODAY()), 2, FALSE), """")"),39.0)</f>
        <v>39</v>
      </c>
      <c r="M62" s="196">
        <f>IFERROR(__xludf.DUMMYFUNCTION("IFERROR(VLOOKUP($A62, GOOGLEFINANCE(M$1, ""price"", $A$2, TODAY()), 2, FALSE), """")"),40.42)</f>
        <v>40.42</v>
      </c>
      <c r="O62" s="18">
        <v>0.18251303935514462</v>
      </c>
      <c r="P62" s="18">
        <v>0.17653864390706495</v>
      </c>
      <c r="Q62" s="18">
        <v>0.08944523470839259</v>
      </c>
      <c r="R62" s="18">
        <v>0.17160739687055476</v>
      </c>
      <c r="S62" s="18">
        <v>0.2561593172119488</v>
      </c>
      <c r="T62" s="18">
        <v>0.1559791370317686</v>
      </c>
      <c r="U62" s="18">
        <v>0.23637743006164058</v>
      </c>
      <c r="V62" s="18">
        <v>0.07719298245614035</v>
      </c>
      <c r="W62" s="18">
        <v>0.07717401612138454</v>
      </c>
      <c r="X62" s="18">
        <v>0.07396870554765292</v>
      </c>
      <c r="Y62" s="196">
        <v>0.07666192508297771</v>
      </c>
      <c r="AA62" s="18">
        <v>-0.03232302271311538</v>
      </c>
      <c r="AB62" s="18">
        <v>-0.016888677008597086</v>
      </c>
      <c r="AC62" s="18">
        <v>0.018723700504544638</v>
      </c>
      <c r="AD62" s="18">
        <v>-0.002982787618845739</v>
      </c>
      <c r="AE62" s="18">
        <v>0.019487598484545288</v>
      </c>
      <c r="AF62" s="18">
        <v>0.06428305316900529</v>
      </c>
      <c r="AG62" s="18">
        <v>0.00574713717967934</v>
      </c>
      <c r="AH62" s="18">
        <v>0.03431506006980256</v>
      </c>
      <c r="AI62" s="18">
        <v>0.025140201687176678</v>
      </c>
      <c r="AJ62" s="18">
        <v>0.03410675559079368</v>
      </c>
      <c r="AK62" s="18">
        <v>0.03369589666738526</v>
      </c>
    </row>
    <row r="63">
      <c r="A63" s="230">
        <f>IFERROR(__xludf.DUMMYFUNCTION("""COMPUTED_VALUE"""),45770.66666666667)</f>
        <v>45770.66667</v>
      </c>
      <c r="B63" s="18">
        <f>IFERROR(__xludf.DUMMYFUNCTION("""COMPUTED_VALUE"""),535.42)</f>
        <v>535.42</v>
      </c>
      <c r="C63" s="18">
        <f>IFERROR(__xludf.DUMMYFUNCTION("IFERROR(VLOOKUP($A63, GOOGLEFINANCE(C$1, ""price"", $A$2, TODAY()), 2, FALSE), """")"),99.02)</f>
        <v>99.02</v>
      </c>
      <c r="D63" s="18">
        <f>IFERROR(__xludf.DUMMYFUNCTION("IFERROR(VLOOKUP($A63, GOOGLEFINANCE(D$1, ""price"", $A$2, TODAY()), 2, FALSE), """")"),95.16)</f>
        <v>95.16</v>
      </c>
      <c r="E63" s="18">
        <f>IFERROR(__xludf.DUMMYFUNCTION("IFERROR(VLOOKUP($A63, GOOGLEFINANCE(E$1, ""price"", $A$2, TODAY()), 2, FALSE), """")"),47.72)</f>
        <v>47.72</v>
      </c>
      <c r="F63" s="18">
        <f>IFERROR(__xludf.DUMMYFUNCTION("IFERROR(VLOOKUP($A63, GOOGLEFINANCE(F$1, ""price"", $A$2, TODAY()), 2, FALSE), """")"),91.93)</f>
        <v>91.93</v>
      </c>
      <c r="G63" s="18">
        <f>IFERROR(__xludf.DUMMYFUNCTION("IFERROR(VLOOKUP($A63, GOOGLEFINANCE(G$1, ""price"", $A$2, TODAY()), 2, FALSE), """")"),135.73)</f>
        <v>135.73</v>
      </c>
      <c r="H63" s="18">
        <f>IFERROR(__xludf.DUMMYFUNCTION("IFERROR(VLOOKUP($A63, GOOGLEFINANCE(H$1, ""price"", $A$2, TODAY()), 2, FALSE), """")"),81.77)</f>
        <v>81.77</v>
      </c>
      <c r="I63" s="18">
        <f>IFERROR(__xludf.DUMMYFUNCTION("IFERROR(VLOOKUP($A63, GOOGLEFINANCE(I$1, ""price"", $A$2, TODAY()), 2, FALSE), """")"),126.19)</f>
        <v>126.19</v>
      </c>
      <c r="J63" s="18">
        <f>IFERROR(__xludf.DUMMYFUNCTION("IFERROR(VLOOKUP($A63, GOOGLEFINANCE(J$1, ""price"", $A$2, TODAY()), 2, FALSE), """")"),40.62)</f>
        <v>40.62</v>
      </c>
      <c r="K63" s="18">
        <f>IFERROR(__xludf.DUMMYFUNCTION("IFERROR(VLOOKUP($A63, GOOGLEFINANCE(K$1, ""price"", $A$2, TODAY()), 2, FALSE), """")"),40.74)</f>
        <v>40.74</v>
      </c>
      <c r="L63" s="18">
        <f>IFERROR(__xludf.DUMMYFUNCTION("IFERROR(VLOOKUP($A63, GOOGLEFINANCE(L$1, ""price"", $A$2, TODAY()), 2, FALSE), """")"),39.17)</f>
        <v>39.17</v>
      </c>
      <c r="M63" s="196">
        <f>IFERROR(__xludf.DUMMYFUNCTION("IFERROR(VLOOKUP($A63, GOOGLEFINANCE(M$1, ""price"", $A$2, TODAY()), 2, FALSE), """")"),40.47)</f>
        <v>40.47</v>
      </c>
      <c r="O63" s="18">
        <v>0.18493892645026336</v>
      </c>
      <c r="P63" s="18">
        <v>0.17772963281162452</v>
      </c>
      <c r="Q63" s="18">
        <v>0.08912629337716185</v>
      </c>
      <c r="R63" s="18">
        <v>0.1716969855440589</v>
      </c>
      <c r="S63" s="18">
        <v>0.25350192372343205</v>
      </c>
      <c r="T63" s="18">
        <v>0.15272122819468828</v>
      </c>
      <c r="U63" s="18">
        <v>0.2356841358186097</v>
      </c>
      <c r="V63" s="18">
        <v>0.07586567554443241</v>
      </c>
      <c r="W63" s="18">
        <v>0.07608979866273206</v>
      </c>
      <c r="X63" s="18">
        <v>0.07315752119831162</v>
      </c>
      <c r="Y63" s="196">
        <v>0.07558552164655785</v>
      </c>
      <c r="AA63" s="18">
        <v>-0.023182852902857043</v>
      </c>
      <c r="AB63" s="18">
        <v>-7.280687482686954E-4</v>
      </c>
      <c r="AC63" s="18">
        <v>0.01361966221024069</v>
      </c>
      <c r="AD63" s="18">
        <v>-0.0023800674392033816</v>
      </c>
      <c r="AE63" s="18">
        <v>7.614208129280708E-4</v>
      </c>
      <c r="AF63" s="18">
        <v>0.03495087233389249</v>
      </c>
      <c r="AG63" s="18">
        <v>-0.003991154726018742</v>
      </c>
      <c r="AH63" s="18">
        <v>0.04523109854433649</v>
      </c>
      <c r="AI63" s="18">
        <v>0.005836399295147565</v>
      </c>
      <c r="AJ63" s="18">
        <v>0.028359234608662076</v>
      </c>
      <c r="AK63" s="18">
        <v>0.014895766922086828</v>
      </c>
    </row>
    <row r="64">
      <c r="A64" s="230">
        <f>IFERROR(__xludf.DUMMYFUNCTION("""COMPUTED_VALUE"""),45771.66666666667)</f>
        <v>45771.66667</v>
      </c>
      <c r="B64" s="18">
        <f>IFERROR(__xludf.DUMMYFUNCTION("""COMPUTED_VALUE"""),546.69)</f>
        <v>546.69</v>
      </c>
      <c r="C64" s="18">
        <f>IFERROR(__xludf.DUMMYFUNCTION("IFERROR(VLOOKUP($A64, GOOGLEFINANCE(C$1, ""price"", $A$2, TODAY()), 2, FALSE), """")"),102.72)</f>
        <v>102.72</v>
      </c>
      <c r="D64" s="18">
        <f>IFERROR(__xludf.DUMMYFUNCTION("IFERROR(VLOOKUP($A64, GOOGLEFINANCE(D$1, ""price"", $A$2, TODAY()), 2, FALSE), """")"),97.06)</f>
        <v>97.06</v>
      </c>
      <c r="E64" s="18">
        <f>IFERROR(__xludf.DUMMYFUNCTION("IFERROR(VLOOKUP($A64, GOOGLEFINANCE(E$1, ""price"", $A$2, TODAY()), 2, FALSE), """")"),48.25)</f>
        <v>48.25</v>
      </c>
      <c r="F64" s="18">
        <f>IFERROR(__xludf.DUMMYFUNCTION("IFERROR(VLOOKUP($A64, GOOGLEFINANCE(F$1, ""price"", $A$2, TODAY()), 2, FALSE), """")"),93.77)</f>
        <v>93.77</v>
      </c>
      <c r="G64" s="18">
        <f>IFERROR(__xludf.DUMMYFUNCTION("IFERROR(VLOOKUP($A64, GOOGLEFINANCE(G$1, ""price"", $A$2, TODAY()), 2, FALSE), """")"),137.39)</f>
        <v>137.39</v>
      </c>
      <c r="H64" s="18">
        <f>IFERROR(__xludf.DUMMYFUNCTION("IFERROR(VLOOKUP($A64, GOOGLEFINANCE(H$1, ""price"", $A$2, TODAY()), 2, FALSE), """")"),81.05)</f>
        <v>81.05</v>
      </c>
      <c r="I64" s="18">
        <f>IFERROR(__xludf.DUMMYFUNCTION("IFERROR(VLOOKUP($A64, GOOGLEFINANCE(I$1, ""price"", $A$2, TODAY()), 2, FALSE), """")"),129.02)</f>
        <v>129.02</v>
      </c>
      <c r="J64" s="18">
        <f>IFERROR(__xludf.DUMMYFUNCTION("IFERROR(VLOOKUP($A64, GOOGLEFINANCE(J$1, ""price"", $A$2, TODAY()), 2, FALSE), """")"),41.27)</f>
        <v>41.27</v>
      </c>
      <c r="K64" s="18">
        <f>IFERROR(__xludf.DUMMYFUNCTION("IFERROR(VLOOKUP($A64, GOOGLEFINANCE(K$1, ""price"", $A$2, TODAY()), 2, FALSE), """")"),41.62)</f>
        <v>41.62</v>
      </c>
      <c r="L64" s="18">
        <f>IFERROR(__xludf.DUMMYFUNCTION("IFERROR(VLOOKUP($A64, GOOGLEFINANCE(L$1, ""price"", $A$2, TODAY()), 2, FALSE), """")"),39.23)</f>
        <v>39.23</v>
      </c>
      <c r="M64" s="196">
        <f>IFERROR(__xludf.DUMMYFUNCTION("IFERROR(VLOOKUP($A64, GOOGLEFINANCE(M$1, ""price"", $A$2, TODAY()), 2, FALSE), """")"),40.59)</f>
        <v>40.59</v>
      </c>
      <c r="O64" s="18">
        <v>0.18789441914064642</v>
      </c>
      <c r="P64" s="18">
        <v>0.17754120250964897</v>
      </c>
      <c r="Q64" s="18">
        <v>0.08825842799392708</v>
      </c>
      <c r="R64" s="18">
        <v>0.1715231666941045</v>
      </c>
      <c r="S64" s="18">
        <v>0.2513124439810495</v>
      </c>
      <c r="T64" s="18">
        <v>0.1482558671276226</v>
      </c>
      <c r="U64" s="18">
        <v>0.23600212186065228</v>
      </c>
      <c r="V64" s="18">
        <v>0.07549068027584188</v>
      </c>
      <c r="W64" s="18">
        <v>0.07613089685196363</v>
      </c>
      <c r="X64" s="18">
        <v>0.07175913223216081</v>
      </c>
      <c r="Y64" s="196">
        <v>0.07424683092794819</v>
      </c>
      <c r="AA64" s="18">
        <v>-0.014987362644543256</v>
      </c>
      <c r="AB64" s="18">
        <v>-2.880080100458038E-4</v>
      </c>
      <c r="AC64" s="18">
        <v>0.01107044680550695</v>
      </c>
      <c r="AD64" s="18">
        <v>-0.0014537381042787345</v>
      </c>
      <c r="AE64" s="18">
        <v>0.027155010173424587</v>
      </c>
      <c r="AF64" s="18">
        <v>0.02066634756858221</v>
      </c>
      <c r="AG64" s="18">
        <v>-0.0031003328377696704</v>
      </c>
      <c r="AH64" s="18">
        <v>0.04354653994181734</v>
      </c>
      <c r="AI64" s="18">
        <v>0.018123131343777077</v>
      </c>
      <c r="AJ64" s="18">
        <v>0.012770345658196902</v>
      </c>
      <c r="AK64" s="18">
        <v>0.0010774424995467768</v>
      </c>
    </row>
    <row r="65">
      <c r="A65" s="230">
        <f>IFERROR(__xludf.DUMMYFUNCTION("""COMPUTED_VALUE"""),45772.66666666667)</f>
        <v>45772.66667</v>
      </c>
      <c r="B65" s="18">
        <f>IFERROR(__xludf.DUMMYFUNCTION("""COMPUTED_VALUE"""),550.64)</f>
        <v>550.64</v>
      </c>
      <c r="C65" s="18">
        <f>IFERROR(__xludf.DUMMYFUNCTION("IFERROR(VLOOKUP($A65, GOOGLEFINANCE(C$1, ""price"", $A$2, TODAY()), 2, FALSE), """")"),104.24)</f>
        <v>104.24</v>
      </c>
      <c r="D65" s="18">
        <f>IFERROR(__xludf.DUMMYFUNCTION("IFERROR(VLOOKUP($A65, GOOGLEFINANCE(D$1, ""price"", $A$2, TODAY()), 2, FALSE), """")"),98.8)</f>
        <v>98.8</v>
      </c>
      <c r="E65" s="18">
        <f>IFERROR(__xludf.DUMMYFUNCTION("IFERROR(VLOOKUP($A65, GOOGLEFINANCE(E$1, ""price"", $A$2, TODAY()), 2, FALSE), """")"),48.02)</f>
        <v>48.02</v>
      </c>
      <c r="F65" s="18">
        <f>IFERROR(__xludf.DUMMYFUNCTION("IFERROR(VLOOKUP($A65, GOOGLEFINANCE(F$1, ""price"", $A$2, TODAY()), 2, FALSE), """")"),94.36)</f>
        <v>94.36</v>
      </c>
      <c r="G65" s="18">
        <f>IFERROR(__xludf.DUMMYFUNCTION("IFERROR(VLOOKUP($A65, GOOGLEFINANCE(G$1, ""price"", $A$2, TODAY()), 2, FALSE), """")"),138.05)</f>
        <v>138.05</v>
      </c>
      <c r="H65" s="18">
        <f>IFERROR(__xludf.DUMMYFUNCTION("IFERROR(VLOOKUP($A65, GOOGLEFINANCE(H$1, ""price"", $A$2, TODAY()), 2, FALSE), """")"),80.84)</f>
        <v>80.84</v>
      </c>
      <c r="I65" s="18">
        <f>IFERROR(__xludf.DUMMYFUNCTION("IFERROR(VLOOKUP($A65, GOOGLEFINANCE(I$1, ""price"", $A$2, TODAY()), 2, FALSE), """")"),129.01)</f>
        <v>129.01</v>
      </c>
      <c r="J65" s="18">
        <f>IFERROR(__xludf.DUMMYFUNCTION("IFERROR(VLOOKUP($A65, GOOGLEFINANCE(J$1, ""price"", $A$2, TODAY()), 2, FALSE), """")"),41.2)</f>
        <v>41.2</v>
      </c>
      <c r="K65" s="18">
        <f>IFERROR(__xludf.DUMMYFUNCTION("IFERROR(VLOOKUP($A65, GOOGLEFINANCE(K$1, ""price"", $A$2, TODAY()), 2, FALSE), """")"),41.31)</f>
        <v>41.31</v>
      </c>
      <c r="L65" s="18">
        <f>IFERROR(__xludf.DUMMYFUNCTION("IFERROR(VLOOKUP($A65, GOOGLEFINANCE(L$1, ""price"", $A$2, TODAY()), 2, FALSE), """")"),39.1)</f>
        <v>39.1</v>
      </c>
      <c r="M65" s="196">
        <f>IFERROR(__xludf.DUMMYFUNCTION("IFERROR(VLOOKUP($A65, GOOGLEFINANCE(M$1, ""price"", $A$2, TODAY()), 2, FALSE), """")"),40.53)</f>
        <v>40.53</v>
      </c>
      <c r="O65" s="18">
        <v>0.18930698823187564</v>
      </c>
      <c r="P65" s="18">
        <v>0.179427575185239</v>
      </c>
      <c r="Q65" s="18">
        <v>0.08720761295946536</v>
      </c>
      <c r="R65" s="18">
        <v>0.17136423071335175</v>
      </c>
      <c r="S65" s="18">
        <v>0.2507082667441523</v>
      </c>
      <c r="T65" s="18">
        <v>0.14681098358274008</v>
      </c>
      <c r="U65" s="18">
        <v>0.23429100682841783</v>
      </c>
      <c r="V65" s="18">
        <v>0.07482202527967456</v>
      </c>
      <c r="W65" s="18">
        <v>0.075021792822897</v>
      </c>
      <c r="X65" s="18">
        <v>0.07100828127270087</v>
      </c>
      <c r="Y65" s="196">
        <v>0.07360525933459248</v>
      </c>
      <c r="AA65" s="18">
        <v>-0.009402376047476402</v>
      </c>
      <c r="AB65" s="18">
        <v>0.009654214773491487</v>
      </c>
      <c r="AC65" s="18">
        <v>-0.006716504804931911</v>
      </c>
      <c r="AD65" s="18">
        <v>-0.0030549024933357316</v>
      </c>
      <c r="AE65" s="18">
        <v>0.02570863538522894</v>
      </c>
      <c r="AF65" s="18">
        <v>0.02018873290036516</v>
      </c>
      <c r="AG65" s="18">
        <v>-0.013324631965566436</v>
      </c>
      <c r="AH65" s="18">
        <v>0.034548208038749584</v>
      </c>
      <c r="AI65" s="18">
        <v>0.0011620273205816822</v>
      </c>
      <c r="AJ65" s="18">
        <v>0.009143768658875118</v>
      </c>
      <c r="AK65" s="18">
        <v>-0.005091419497409211</v>
      </c>
    </row>
    <row r="66">
      <c r="A66" s="230">
        <f>IFERROR(__xludf.DUMMYFUNCTION("""COMPUTED_VALUE"""),45775.66666666667)</f>
        <v>45775.66667</v>
      </c>
      <c r="B66" s="18">
        <f>IFERROR(__xludf.DUMMYFUNCTION("""COMPUTED_VALUE"""),550.85)</f>
        <v>550.85</v>
      </c>
      <c r="C66" s="18">
        <f>IFERROR(__xludf.DUMMYFUNCTION("IFERROR(VLOOKUP($A66, GOOGLEFINANCE(C$1, ""price"", $A$2, TODAY()), 2, FALSE), """")"),104.07)</f>
        <v>104.07</v>
      </c>
      <c r="D66" s="18">
        <f>IFERROR(__xludf.DUMMYFUNCTION("IFERROR(VLOOKUP($A66, GOOGLEFINANCE(D$1, ""price"", $A$2, TODAY()), 2, FALSE), """")"),98.84)</f>
        <v>98.84</v>
      </c>
      <c r="E66" s="18">
        <f>IFERROR(__xludf.DUMMYFUNCTION("IFERROR(VLOOKUP($A66, GOOGLEFINANCE(E$1, ""price"", $A$2, TODAY()), 2, FALSE), """")"),48.17)</f>
        <v>48.17</v>
      </c>
      <c r="F66" s="18">
        <f>IFERROR(__xludf.DUMMYFUNCTION("IFERROR(VLOOKUP($A66, GOOGLEFINANCE(F$1, ""price"", $A$2, TODAY()), 2, FALSE), """")"),94.72)</f>
        <v>94.72</v>
      </c>
      <c r="G66" s="18">
        <f>IFERROR(__xludf.DUMMYFUNCTION("IFERROR(VLOOKUP($A66, GOOGLEFINANCE(G$1, ""price"", $A$2, TODAY()), 2, FALSE), """")"),138.6)</f>
        <v>138.6</v>
      </c>
      <c r="H66" s="18">
        <f>IFERROR(__xludf.DUMMYFUNCTION("IFERROR(VLOOKUP($A66, GOOGLEFINANCE(H$1, ""price"", $A$2, TODAY()), 2, FALSE), """")"),80.57)</f>
        <v>80.57</v>
      </c>
      <c r="I66" s="18">
        <f>IFERROR(__xludf.DUMMYFUNCTION("IFERROR(VLOOKUP($A66, GOOGLEFINANCE(I$1, ""price"", $A$2, TODAY()), 2, FALSE), """")"),129.44)</f>
        <v>129.44</v>
      </c>
      <c r="J66" s="18">
        <f>IFERROR(__xludf.DUMMYFUNCTION("IFERROR(VLOOKUP($A66, GOOGLEFINANCE(J$1, ""price"", $A$2, TODAY()), 2, FALSE), """")"),41.49)</f>
        <v>41.49</v>
      </c>
      <c r="K66" s="18">
        <f>IFERROR(__xludf.DUMMYFUNCTION("IFERROR(VLOOKUP($A66, GOOGLEFINANCE(K$1, ""price"", $A$2, TODAY()), 2, FALSE), """")"),41.39)</f>
        <v>41.39</v>
      </c>
      <c r="L66" s="18">
        <f>IFERROR(__xludf.DUMMYFUNCTION("IFERROR(VLOOKUP($A66, GOOGLEFINANCE(L$1, ""price"", $A$2, TODAY()), 2, FALSE), """")"),39.35)</f>
        <v>39.35</v>
      </c>
      <c r="M66" s="196">
        <f>IFERROR(__xludf.DUMMYFUNCTION("IFERROR(VLOOKUP($A66, GOOGLEFINANCE(M$1, ""price"", $A$2, TODAY()), 2, FALSE), """")"),40.78)</f>
        <v>40.78</v>
      </c>
      <c r="O66" s="18">
        <v>0.18892620495597712</v>
      </c>
      <c r="P66" s="18">
        <v>0.17943178723790507</v>
      </c>
      <c r="Q66" s="18">
        <v>0.0874466733230462</v>
      </c>
      <c r="R66" s="18">
        <v>0.17195243714259778</v>
      </c>
      <c r="S66" s="18">
        <v>0.25161114641009347</v>
      </c>
      <c r="T66" s="18">
        <v>0.14626486339293818</v>
      </c>
      <c r="U66" s="18">
        <v>0.2349823000816919</v>
      </c>
      <c r="V66" s="18">
        <v>0.0753199600617228</v>
      </c>
      <c r="W66" s="18">
        <v>0.07513842243805029</v>
      </c>
      <c r="X66" s="18">
        <v>0.07143505491513116</v>
      </c>
      <c r="Y66" s="196">
        <v>0.074031042933648</v>
      </c>
      <c r="AA66" s="18">
        <v>-0.011771969231015866</v>
      </c>
      <c r="AB66" s="18">
        <v>0.014667400164895872</v>
      </c>
      <c r="AC66" s="18">
        <v>-0.0032954109168736867</v>
      </c>
      <c r="AD66" s="18">
        <v>-0.0077120547442368625</v>
      </c>
      <c r="AE66" s="18">
        <v>0.026389149511740095</v>
      </c>
      <c r="AF66" s="18">
        <v>0.011433466321690844</v>
      </c>
      <c r="AG66" s="18">
        <v>-0.016599510441632326</v>
      </c>
      <c r="AH66" s="18">
        <v>0.05449815389767476</v>
      </c>
      <c r="AI66" s="18">
        <v>0.004537424153397973</v>
      </c>
      <c r="AJ66" s="18">
        <v>0.011924781177113264</v>
      </c>
      <c r="AK66" s="18">
        <v>-0.003886508989016768</v>
      </c>
    </row>
    <row r="67">
      <c r="A67" s="230">
        <f>IFERROR(__xludf.DUMMYFUNCTION("""COMPUTED_VALUE"""),45776.66666666667)</f>
        <v>45776.66667</v>
      </c>
      <c r="B67" s="18">
        <f>IFERROR(__xludf.DUMMYFUNCTION("""COMPUTED_VALUE"""),554.32)</f>
        <v>554.32</v>
      </c>
      <c r="C67" s="18">
        <f>IFERROR(__xludf.DUMMYFUNCTION("IFERROR(VLOOKUP($A67, GOOGLEFINANCE(C$1, ""price"", $A$2, TODAY()), 2, FALSE), """")"),104.55)</f>
        <v>104.55</v>
      </c>
      <c r="D67" s="18">
        <f>IFERROR(__xludf.DUMMYFUNCTION("IFERROR(VLOOKUP($A67, GOOGLEFINANCE(D$1, ""price"", $A$2, TODAY()), 2, FALSE), """")"),99.54)</f>
        <v>99.54</v>
      </c>
      <c r="E67" s="18">
        <f>IFERROR(__xludf.DUMMYFUNCTION("IFERROR(VLOOKUP($A67, GOOGLEFINANCE(E$1, ""price"", $A$2, TODAY()), 2, FALSE), """")"),48.67)</f>
        <v>48.67</v>
      </c>
      <c r="F67" s="18">
        <f>IFERROR(__xludf.DUMMYFUNCTION("IFERROR(VLOOKUP($A67, GOOGLEFINANCE(F$1, ""price"", $A$2, TODAY()), 2, FALSE), """")"),95.41)</f>
        <v>95.41</v>
      </c>
      <c r="G67" s="18">
        <f>IFERROR(__xludf.DUMMYFUNCTION("IFERROR(VLOOKUP($A67, GOOGLEFINANCE(G$1, ""price"", $A$2, TODAY()), 2, FALSE), """")"),139.28)</f>
        <v>139.28</v>
      </c>
      <c r="H67" s="18">
        <f>IFERROR(__xludf.DUMMYFUNCTION("IFERROR(VLOOKUP($A67, GOOGLEFINANCE(H$1, ""price"", $A$2, TODAY()), 2, FALSE), """")"),81.24)</f>
        <v>81.24</v>
      </c>
      <c r="I67" s="18">
        <f>IFERROR(__xludf.DUMMYFUNCTION("IFERROR(VLOOKUP($A67, GOOGLEFINANCE(I$1, ""price"", $A$2, TODAY()), 2, FALSE), """")"),130.28)</f>
        <v>130.28</v>
      </c>
      <c r="J67" s="18">
        <f>IFERROR(__xludf.DUMMYFUNCTION("IFERROR(VLOOKUP($A67, GOOGLEFINANCE(J$1, ""price"", $A$2, TODAY()), 2, FALSE), """")"),41.37)</f>
        <v>41.37</v>
      </c>
      <c r="K67" s="18">
        <f>IFERROR(__xludf.DUMMYFUNCTION("IFERROR(VLOOKUP($A67, GOOGLEFINANCE(K$1, ""price"", $A$2, TODAY()), 2, FALSE), """")"),41.73)</f>
        <v>41.73</v>
      </c>
      <c r="L67" s="18">
        <f>IFERROR(__xludf.DUMMYFUNCTION("IFERROR(VLOOKUP($A67, GOOGLEFINANCE(L$1, ""price"", $A$2, TODAY()), 2, FALSE), """")"),39.65)</f>
        <v>39.65</v>
      </c>
      <c r="M67" s="196">
        <f>IFERROR(__xludf.DUMMYFUNCTION("IFERROR(VLOOKUP($A67, GOOGLEFINANCE(M$1, ""price"", $A$2, TODAY()), 2, FALSE), """")"),41.11)</f>
        <v>41.11</v>
      </c>
      <c r="O67" s="18">
        <v>0.18860946745562127</v>
      </c>
      <c r="P67" s="18">
        <v>0.17957136671958435</v>
      </c>
      <c r="Q67" s="18">
        <v>0.08780127002453456</v>
      </c>
      <c r="R67" s="18">
        <v>0.17212079665175348</v>
      </c>
      <c r="S67" s="18">
        <v>0.251262808486073</v>
      </c>
      <c r="T67" s="18">
        <v>0.1465579448693895</v>
      </c>
      <c r="U67" s="18">
        <v>0.2350266993794198</v>
      </c>
      <c r="V67" s="18">
        <v>0.07463198152691584</v>
      </c>
      <c r="W67" s="18">
        <v>0.07528142589118197</v>
      </c>
      <c r="X67" s="18">
        <v>0.07152908067542213</v>
      </c>
      <c r="Y67" s="196">
        <v>0.07416293837494588</v>
      </c>
      <c r="AA67" s="18">
        <v>-0.013525173959180625</v>
      </c>
      <c r="AB67" s="18">
        <v>0.015838021086290066</v>
      </c>
      <c r="AC67" s="18">
        <v>-0.0019660356039481464</v>
      </c>
      <c r="AD67" s="18">
        <v>-0.01484071321315339</v>
      </c>
      <c r="AE67" s="18">
        <v>0.04522934104085152</v>
      </c>
      <c r="AF67" s="18">
        <v>0.006718864081313614</v>
      </c>
      <c r="AG67" s="18">
        <v>-0.01601169091766097</v>
      </c>
      <c r="AH67" s="18">
        <v>0.035875590592165274</v>
      </c>
      <c r="AI67" s="18">
        <v>0.0051914166784343685</v>
      </c>
      <c r="AJ67" s="18">
        <v>-0.0071919949968731745</v>
      </c>
      <c r="AK67" s="18">
        <v>-0.0035525375349904076</v>
      </c>
    </row>
    <row r="68">
      <c r="A68" s="230">
        <f>IFERROR(__xludf.DUMMYFUNCTION("""COMPUTED_VALUE"""),45777.66666666667)</f>
        <v>45777.66667</v>
      </c>
      <c r="B68" s="18">
        <f>IFERROR(__xludf.DUMMYFUNCTION("""COMPUTED_VALUE"""),554.54)</f>
        <v>554.54</v>
      </c>
      <c r="C68" s="18">
        <f>IFERROR(__xludf.DUMMYFUNCTION("IFERROR(VLOOKUP($A68, GOOGLEFINANCE(C$1, ""price"", $A$2, TODAY()), 2, FALSE), """")"),104.99)</f>
        <v>104.99</v>
      </c>
      <c r="D68" s="18">
        <f>IFERROR(__xludf.DUMMYFUNCTION("IFERROR(VLOOKUP($A68, GOOGLEFINANCE(D$1, ""price"", $A$2, TODAY()), 2, FALSE), """")"),98.63)</f>
        <v>98.63</v>
      </c>
      <c r="E68" s="18">
        <f>IFERROR(__xludf.DUMMYFUNCTION("IFERROR(VLOOKUP($A68, GOOGLEFINANCE(E$1, ""price"", $A$2, TODAY()), 2, FALSE), """")"),48.76)</f>
        <v>48.76</v>
      </c>
      <c r="F68" s="18">
        <f>IFERROR(__xludf.DUMMYFUNCTION("IFERROR(VLOOKUP($A68, GOOGLEFINANCE(F$1, ""price"", $A$2, TODAY()), 2, FALSE), """")"),95.44)</f>
        <v>95.44</v>
      </c>
      <c r="G68" s="18">
        <f>IFERROR(__xludf.DUMMYFUNCTION("IFERROR(VLOOKUP($A68, GOOGLEFINANCE(G$1, ""price"", $A$2, TODAY()), 2, FALSE), """")"),140.47)</f>
        <v>140.47</v>
      </c>
      <c r="H68" s="18">
        <f>IFERROR(__xludf.DUMMYFUNCTION("IFERROR(VLOOKUP($A68, GOOGLEFINANCE(H$1, ""price"", $A$2, TODAY()), 2, FALSE), """")"),81.83)</f>
        <v>81.83</v>
      </c>
      <c r="I68" s="18">
        <f>IFERROR(__xludf.DUMMYFUNCTION("IFERROR(VLOOKUP($A68, GOOGLEFINANCE(I$1, ""price"", $A$2, TODAY()), 2, FALSE), """")"),131.22)</f>
        <v>131.22</v>
      </c>
      <c r="J68" s="18">
        <f>IFERROR(__xludf.DUMMYFUNCTION("IFERROR(VLOOKUP($A68, GOOGLEFINANCE(J$1, ""price"", $A$2, TODAY()), 2, FALSE), """")"),40.25)</f>
        <v>40.25</v>
      </c>
      <c r="K68" s="18">
        <f>IFERROR(__xludf.DUMMYFUNCTION("IFERROR(VLOOKUP($A68, GOOGLEFINANCE(K$1, ""price"", $A$2, TODAY()), 2, FALSE), """")"),41.95)</f>
        <v>41.95</v>
      </c>
      <c r="L68" s="18">
        <f>IFERROR(__xludf.DUMMYFUNCTION("IFERROR(VLOOKUP($A68, GOOGLEFINANCE(L$1, ""price"", $A$2, TODAY()), 2, FALSE), """")"),39.45)</f>
        <v>39.45</v>
      </c>
      <c r="M68" s="196">
        <f>IFERROR(__xludf.DUMMYFUNCTION("IFERROR(VLOOKUP($A68, GOOGLEFINANCE(M$1, ""price"", $A$2, TODAY()), 2, FALSE), """")"),41.3)</f>
        <v>41.3</v>
      </c>
      <c r="O68" s="18">
        <v>0.18932809175172216</v>
      </c>
      <c r="P68" s="18">
        <v>0.1778591264832113</v>
      </c>
      <c r="Q68" s="18">
        <v>0.08792873372524976</v>
      </c>
      <c r="R68" s="18">
        <v>0.17210661088469723</v>
      </c>
      <c r="S68" s="18">
        <v>0.253309048941465</v>
      </c>
      <c r="T68" s="18">
        <v>0.1475637465286544</v>
      </c>
      <c r="U68" s="18">
        <v>0.23662855700220004</v>
      </c>
      <c r="V68" s="18">
        <v>0.07258268114112598</v>
      </c>
      <c r="W68" s="18">
        <v>0.075648285065099</v>
      </c>
      <c r="X68" s="18">
        <v>0.0711400440004328</v>
      </c>
      <c r="Y68" s="196">
        <v>0.07447614238828579</v>
      </c>
      <c r="AA68" s="18">
        <v>-0.015462341891586684</v>
      </c>
      <c r="AB68" s="18">
        <v>0.0025680444606130948</v>
      </c>
      <c r="AC68" s="18">
        <v>-0.002200021639557237</v>
      </c>
      <c r="AD68" s="18">
        <v>-0.008952029779909276</v>
      </c>
      <c r="AE68" s="18">
        <v>0.050120957546565315</v>
      </c>
      <c r="AF68" s="18">
        <v>0.016266523865419824</v>
      </c>
      <c r="AG68" s="18">
        <v>-0.010181775909172353</v>
      </c>
      <c r="AH68" s="18">
        <v>0.011166125182294984</v>
      </c>
      <c r="AI68" s="18">
        <v>0.019943180304668573</v>
      </c>
      <c r="AJ68" s="18">
        <v>-0.011385941286704782</v>
      </c>
      <c r="AK68" s="18">
        <v>0.005589203589667191</v>
      </c>
    </row>
    <row r="69">
      <c r="A69" s="230">
        <f>IFERROR(__xludf.DUMMYFUNCTION("""COMPUTED_VALUE"""),45778.66666666667)</f>
        <v>45778.66667</v>
      </c>
      <c r="B69" s="18">
        <f>IFERROR(__xludf.DUMMYFUNCTION("""COMPUTED_VALUE"""),558.47)</f>
        <v>558.47</v>
      </c>
      <c r="C69" s="18">
        <f>IFERROR(__xludf.DUMMYFUNCTION("IFERROR(VLOOKUP($A69, GOOGLEFINANCE(C$1, ""price"", $A$2, TODAY()), 2, FALSE), """")"),106.53)</f>
        <v>106.53</v>
      </c>
      <c r="D69" s="18">
        <f>IFERROR(__xludf.DUMMYFUNCTION("IFERROR(VLOOKUP($A69, GOOGLEFINANCE(D$1, ""price"", $A$2, TODAY()), 2, FALSE), """")"),99.18)</f>
        <v>99.18</v>
      </c>
      <c r="E69" s="18">
        <f>IFERROR(__xludf.DUMMYFUNCTION("IFERROR(VLOOKUP($A69, GOOGLEFINANCE(E$1, ""price"", $A$2, TODAY()), 2, FALSE), """")"),48.75)</f>
        <v>48.75</v>
      </c>
      <c r="F69" s="18">
        <f>IFERROR(__xludf.DUMMYFUNCTION("IFERROR(VLOOKUP($A69, GOOGLEFINANCE(F$1, ""price"", $A$2, TODAY()), 2, FALSE), """")"),95.93)</f>
        <v>95.93</v>
      </c>
      <c r="G69" s="18">
        <f>IFERROR(__xludf.DUMMYFUNCTION("IFERROR(VLOOKUP($A69, GOOGLEFINANCE(G$1, ""price"", $A$2, TODAY()), 2, FALSE), """")"),136.64)</f>
        <v>136.64</v>
      </c>
      <c r="H69" s="18">
        <f>IFERROR(__xludf.DUMMYFUNCTION("IFERROR(VLOOKUP($A69, GOOGLEFINANCE(H$1, ""price"", $A$2, TODAY()), 2, FALSE), """")"),81.12)</f>
        <v>81.12</v>
      </c>
      <c r="I69" s="18">
        <f>IFERROR(__xludf.DUMMYFUNCTION("IFERROR(VLOOKUP($A69, GOOGLEFINANCE(I$1, ""price"", $A$2, TODAY()), 2, FALSE), """")"),132.21)</f>
        <v>132.21</v>
      </c>
      <c r="J69" s="18">
        <f>IFERROR(__xludf.DUMMYFUNCTION("IFERROR(VLOOKUP($A69, GOOGLEFINANCE(J$1, ""price"", $A$2, TODAY()), 2, FALSE), """")"),40.4)</f>
        <v>40.4</v>
      </c>
      <c r="K69" s="18">
        <f>IFERROR(__xludf.DUMMYFUNCTION("IFERROR(VLOOKUP($A69, GOOGLEFINANCE(K$1, ""price"", $A$2, TODAY()), 2, FALSE), """")"),41.76)</f>
        <v>41.76</v>
      </c>
      <c r="L69" s="18">
        <f>IFERROR(__xludf.DUMMYFUNCTION("IFERROR(VLOOKUP($A69, GOOGLEFINANCE(L$1, ""price"", $A$2, TODAY()), 2, FALSE), """")"),39.57)</f>
        <v>39.57</v>
      </c>
      <c r="M69" s="196">
        <f>IFERROR(__xludf.DUMMYFUNCTION("IFERROR(VLOOKUP($A69, GOOGLEFINANCE(M$1, ""price"", $A$2, TODAY()), 2, FALSE), """")"),41.42)</f>
        <v>41.42</v>
      </c>
      <c r="O69" s="18">
        <v>0.19075330814546887</v>
      </c>
      <c r="P69" s="18">
        <v>0.17759235052912423</v>
      </c>
      <c r="Q69" s="18">
        <v>0.08729206582269414</v>
      </c>
      <c r="R69" s="18">
        <v>0.17177287947427794</v>
      </c>
      <c r="S69" s="18">
        <v>0.24466846921052157</v>
      </c>
      <c r="T69" s="18">
        <v>0.14525399752896306</v>
      </c>
      <c r="U69" s="18">
        <v>0.23673608251114653</v>
      </c>
      <c r="V69" s="18">
        <v>0.07234050172793524</v>
      </c>
      <c r="W69" s="18">
        <v>0.07477572653857861</v>
      </c>
      <c r="X69" s="18">
        <v>0.07085429835085143</v>
      </c>
      <c r="Y69" s="196">
        <v>0.07416692033591778</v>
      </c>
      <c r="AA69" s="18">
        <v>-0.010583217361128772</v>
      </c>
      <c r="AB69" s="18">
        <v>-0.0036702383837676766</v>
      </c>
      <c r="AC69" s="18">
        <v>-0.010724935544092484</v>
      </c>
      <c r="AD69" s="18">
        <v>-0.006326952541610531</v>
      </c>
      <c r="AE69" s="18">
        <v>0.030657262651687223</v>
      </c>
      <c r="AF69" s="18">
        <v>0.008567508524402356</v>
      </c>
      <c r="AG69" s="18">
        <v>-0.016396391295967372</v>
      </c>
      <c r="AH69" s="18">
        <v>0.0016349891297986474</v>
      </c>
      <c r="AI69" s="18">
        <v>0.0019628180670909767</v>
      </c>
      <c r="AJ69" s="18">
        <v>-3.263464136802341E-4</v>
      </c>
      <c r="AK69" s="18">
        <v>0.013267891804006116</v>
      </c>
    </row>
    <row r="70">
      <c r="A70" s="230">
        <f>IFERROR(__xludf.DUMMYFUNCTION("""COMPUTED_VALUE"""),45779.66666666667)</f>
        <v>45779.66667</v>
      </c>
      <c r="B70" s="18">
        <f>IFERROR(__xludf.DUMMYFUNCTION("""COMPUTED_VALUE"""),566.76)</f>
        <v>566.76</v>
      </c>
      <c r="C70" s="18">
        <f>IFERROR(__xludf.DUMMYFUNCTION("IFERROR(VLOOKUP($A70, GOOGLEFINANCE(C$1, ""price"", $A$2, TODAY()), 2, FALSE), """")"),108.31)</f>
        <v>108.31</v>
      </c>
      <c r="D70" s="18">
        <f>IFERROR(__xludf.DUMMYFUNCTION("IFERROR(VLOOKUP($A70, GOOGLEFINANCE(D$1, ""price"", $A$2, TODAY()), 2, FALSE), """")"),100.72)</f>
        <v>100.72</v>
      </c>
      <c r="E70" s="18">
        <f>IFERROR(__xludf.DUMMYFUNCTION("IFERROR(VLOOKUP($A70, GOOGLEFINANCE(E$1, ""price"", $A$2, TODAY()), 2, FALSE), """")"),49.76)</f>
        <v>49.76</v>
      </c>
      <c r="F70" s="18">
        <f>IFERROR(__xludf.DUMMYFUNCTION("IFERROR(VLOOKUP($A70, GOOGLEFINANCE(F$1, ""price"", $A$2, TODAY()), 2, FALSE), """")"),97.42)</f>
        <v>97.42</v>
      </c>
      <c r="G70" s="18">
        <f>IFERROR(__xludf.DUMMYFUNCTION("IFERROR(VLOOKUP($A70, GOOGLEFINANCE(G$1, ""price"", $A$2, TODAY()), 2, FALSE), """")"),138.53)</f>
        <v>138.53</v>
      </c>
      <c r="H70" s="18">
        <f>IFERROR(__xludf.DUMMYFUNCTION("IFERROR(VLOOKUP($A70, GOOGLEFINANCE(H$1, ""price"", $A$2, TODAY()), 2, FALSE), """")"),81.56)</f>
        <v>81.56</v>
      </c>
      <c r="I70" s="18">
        <f>IFERROR(__xludf.DUMMYFUNCTION("IFERROR(VLOOKUP($A70, GOOGLEFINANCE(I$1, ""price"", $A$2, TODAY()), 2, FALSE), """")"),134.58)</f>
        <v>134.58</v>
      </c>
      <c r="J70" s="18">
        <f>IFERROR(__xludf.DUMMYFUNCTION("IFERROR(VLOOKUP($A70, GOOGLEFINANCE(J$1, ""price"", $A$2, TODAY()), 2, FALSE), """")"),40.99)</f>
        <v>40.99</v>
      </c>
      <c r="K70" s="18">
        <f>IFERROR(__xludf.DUMMYFUNCTION("IFERROR(VLOOKUP($A70, GOOGLEFINANCE(K$1, ""price"", $A$2, TODAY()), 2, FALSE), """")"),42.47)</f>
        <v>42.47</v>
      </c>
      <c r="L70" s="18">
        <f>IFERROR(__xludf.DUMMYFUNCTION("IFERROR(VLOOKUP($A70, GOOGLEFINANCE(L$1, ""price"", $A$2, TODAY()), 2, FALSE), """")"),39.88)</f>
        <v>39.88</v>
      </c>
      <c r="M70" s="196">
        <f>IFERROR(__xludf.DUMMYFUNCTION("IFERROR(VLOOKUP($A70, GOOGLEFINANCE(M$1, ""price"", $A$2, TODAY()), 2, FALSE), """")"),41.93)</f>
        <v>41.93</v>
      </c>
      <c r="O70" s="18">
        <v>0.1911038181946503</v>
      </c>
      <c r="P70" s="18">
        <v>0.1777119062742607</v>
      </c>
      <c r="Q70" s="18">
        <v>0.08779730397346319</v>
      </c>
      <c r="R70" s="18">
        <v>0.17188933587409133</v>
      </c>
      <c r="S70" s="18">
        <v>0.24442444773801963</v>
      </c>
      <c r="T70" s="18">
        <v>0.1439057096478227</v>
      </c>
      <c r="U70" s="18">
        <v>0.23745500741054418</v>
      </c>
      <c r="V70" s="18">
        <v>0.07232338203119487</v>
      </c>
      <c r="W70" s="18">
        <v>0.0749347166349072</v>
      </c>
      <c r="X70" s="18">
        <v>0.07036488107841062</v>
      </c>
      <c r="Y70" s="196">
        <v>0.07398193238760675</v>
      </c>
      <c r="AA70" s="18">
        <v>-0.008754331250285241</v>
      </c>
      <c r="AB70" s="18">
        <v>-0.009090631490798473</v>
      </c>
      <c r="AC70" s="18">
        <v>-0.006266936935735656</v>
      </c>
      <c r="AD70" s="18">
        <v>-0.0018107860960618893</v>
      </c>
      <c r="AE70" s="18">
        <v>0.03963289747116372</v>
      </c>
      <c r="AF70" s="18">
        <v>0.00372943001671322</v>
      </c>
      <c r="AG70" s="18">
        <v>-0.015462795664782147</v>
      </c>
      <c r="AH70" s="18">
        <v>-0.00982587541279678</v>
      </c>
      <c r="AI70" s="18">
        <v>2.0477733546653276E-4</v>
      </c>
      <c r="AJ70" s="18">
        <v>-0.010226396116893133</v>
      </c>
      <c r="AK70" s="18">
        <v>0.0033877366888246385</v>
      </c>
    </row>
    <row r="71">
      <c r="A71" s="230">
        <f>IFERROR(__xludf.DUMMYFUNCTION("""COMPUTED_VALUE"""),45782.66666666667)</f>
        <v>45782.66667</v>
      </c>
      <c r="B71" s="18">
        <f>IFERROR(__xludf.DUMMYFUNCTION("""COMPUTED_VALUE"""),563.51)</f>
        <v>563.51</v>
      </c>
      <c r="C71" s="18">
        <f>IFERROR(__xludf.DUMMYFUNCTION("IFERROR(VLOOKUP($A71, GOOGLEFINANCE(C$1, ""price"", $A$2, TODAY()), 2, FALSE), """")"),107.73)</f>
        <v>107.73</v>
      </c>
      <c r="D71" s="18">
        <f>IFERROR(__xludf.DUMMYFUNCTION("IFERROR(VLOOKUP($A71, GOOGLEFINANCE(D$1, ""price"", $A$2, TODAY()), 2, FALSE), """")"),99.65)</f>
        <v>99.65</v>
      </c>
      <c r="E71" s="18">
        <f>IFERROR(__xludf.DUMMYFUNCTION("IFERROR(VLOOKUP($A71, GOOGLEFINANCE(E$1, ""price"", $A$2, TODAY()), 2, FALSE), """")"),49.44)</f>
        <v>49.44</v>
      </c>
      <c r="F71" s="18">
        <f>IFERROR(__xludf.DUMMYFUNCTION("IFERROR(VLOOKUP($A71, GOOGLEFINANCE(F$1, ""price"", $A$2, TODAY()), 2, FALSE), """")"),97.65)</f>
        <v>97.65</v>
      </c>
      <c r="G71" s="18">
        <f>IFERROR(__xludf.DUMMYFUNCTION("IFERROR(VLOOKUP($A71, GOOGLEFINANCE(G$1, ""price"", $A$2, TODAY()), 2, FALSE), """")"),138.14)</f>
        <v>138.14</v>
      </c>
      <c r="H71" s="18">
        <f>IFERROR(__xludf.DUMMYFUNCTION("IFERROR(VLOOKUP($A71, GOOGLEFINANCE(H$1, ""price"", $A$2, TODAY()), 2, FALSE), """")"),81.49)</f>
        <v>81.49</v>
      </c>
      <c r="I71" s="18">
        <f>IFERROR(__xludf.DUMMYFUNCTION("IFERROR(VLOOKUP($A71, GOOGLEFINANCE(I$1, ""price"", $A$2, TODAY()), 2, FALSE), """")"),134.65)</f>
        <v>134.65</v>
      </c>
      <c r="J71" s="18">
        <f>IFERROR(__xludf.DUMMYFUNCTION("IFERROR(VLOOKUP($A71, GOOGLEFINANCE(J$1, ""price"", $A$2, TODAY()), 2, FALSE), """")"),40.25)</f>
        <v>40.25</v>
      </c>
      <c r="K71" s="18">
        <f>IFERROR(__xludf.DUMMYFUNCTION("IFERROR(VLOOKUP($A71, GOOGLEFINANCE(K$1, ""price"", $A$2, TODAY()), 2, FALSE), """")"),42.15)</f>
        <v>42.15</v>
      </c>
      <c r="L71" s="18">
        <f>IFERROR(__xludf.DUMMYFUNCTION("IFERROR(VLOOKUP($A71, GOOGLEFINANCE(L$1, ""price"", $A$2, TODAY()), 2, FALSE), """")"),39.78)</f>
        <v>39.78</v>
      </c>
      <c r="M71" s="196">
        <f>IFERROR(__xludf.DUMMYFUNCTION("IFERROR(VLOOKUP($A71, GOOGLEFINANCE(M$1, ""price"", $A$2, TODAY()), 2, FALSE), """")"),41.88)</f>
        <v>41.88</v>
      </c>
      <c r="O71" s="18">
        <v>0.19117673155755888</v>
      </c>
      <c r="P71" s="18">
        <v>0.1768380330428919</v>
      </c>
      <c r="Q71" s="18">
        <v>0.08773579883231886</v>
      </c>
      <c r="R71" s="18">
        <v>0.17328885024223173</v>
      </c>
      <c r="S71" s="18">
        <v>0.2451420560415964</v>
      </c>
      <c r="T71" s="18">
        <v>0.14461145321289773</v>
      </c>
      <c r="U71" s="18">
        <v>0.23894873205444447</v>
      </c>
      <c r="V71" s="18">
        <v>0.07142730386328548</v>
      </c>
      <c r="W71" s="18">
        <v>0.07479902752391261</v>
      </c>
      <c r="X71" s="18">
        <v>0.07059324590513034</v>
      </c>
      <c r="Y71" s="196">
        <v>0.07431988784582351</v>
      </c>
      <c r="AA71" s="18">
        <v>-0.02104415695440265</v>
      </c>
      <c r="AB71" s="18">
        <v>-0.029604622706367212</v>
      </c>
      <c r="AC71" s="18">
        <v>0.005486403798969475</v>
      </c>
      <c r="AD71" s="18">
        <v>0.018403899220954312</v>
      </c>
      <c r="AE71" s="18">
        <v>0.05115745257200843</v>
      </c>
      <c r="AF71" s="18">
        <v>0.040442195589130536</v>
      </c>
      <c r="AG71" s="18">
        <v>-0.007093932284956694</v>
      </c>
      <c r="AH71" s="18">
        <v>-0.015336867362099604</v>
      </c>
      <c r="AI71" s="18">
        <v>0.008023232921077428</v>
      </c>
      <c r="AJ71" s="18">
        <v>0.03197483526158318</v>
      </c>
      <c r="AK71" s="18">
        <v>0.040282146824409226</v>
      </c>
    </row>
    <row r="72">
      <c r="A72" s="230">
        <f>IFERROR(__xludf.DUMMYFUNCTION("""COMPUTED_VALUE"""),45783.66666666667)</f>
        <v>45783.66667</v>
      </c>
      <c r="B72" s="18">
        <f>IFERROR(__xludf.DUMMYFUNCTION("""COMPUTED_VALUE"""),558.8)</f>
        <v>558.8</v>
      </c>
      <c r="C72" s="18">
        <f>IFERROR(__xludf.DUMMYFUNCTION("IFERROR(VLOOKUP($A72, GOOGLEFINANCE(C$1, ""price"", $A$2, TODAY()), 2, FALSE), """")"),106.84)</f>
        <v>106.84</v>
      </c>
      <c r="D72" s="18">
        <f>IFERROR(__xludf.DUMMYFUNCTION("IFERROR(VLOOKUP($A72, GOOGLEFINANCE(D$1, ""price"", $A$2, TODAY()), 2, FALSE), """")"),98.78)</f>
        <v>98.78</v>
      </c>
      <c r="E72" s="18">
        <f>IFERROR(__xludf.DUMMYFUNCTION("IFERROR(VLOOKUP($A72, GOOGLEFINANCE(E$1, ""price"", $A$2, TODAY()), 2, FALSE), """")"),49.16)</f>
        <v>49.16</v>
      </c>
      <c r="F72" s="18">
        <f>IFERROR(__xludf.DUMMYFUNCTION("IFERROR(VLOOKUP($A72, GOOGLEFINANCE(F$1, ""price"", $A$2, TODAY()), 2, FALSE), """")"),97.63)</f>
        <v>97.63</v>
      </c>
      <c r="G72" s="18">
        <f>IFERROR(__xludf.DUMMYFUNCTION("IFERROR(VLOOKUP($A72, GOOGLEFINANCE(G$1, ""price"", $A$2, TODAY()), 2, FALSE), """")"),134.33)</f>
        <v>134.33</v>
      </c>
      <c r="H72" s="18">
        <f>IFERROR(__xludf.DUMMYFUNCTION("IFERROR(VLOOKUP($A72, GOOGLEFINANCE(H$1, ""price"", $A$2, TODAY()), 2, FALSE), """")"),81.35)</f>
        <v>81.35</v>
      </c>
      <c r="I72" s="18">
        <f>IFERROR(__xludf.DUMMYFUNCTION("IFERROR(VLOOKUP($A72, GOOGLEFINANCE(I$1, ""price"", $A$2, TODAY()), 2, FALSE), """")"),133.47)</f>
        <v>133.47</v>
      </c>
      <c r="J72" s="18">
        <f>IFERROR(__xludf.DUMMYFUNCTION("IFERROR(VLOOKUP($A72, GOOGLEFINANCE(J$1, ""price"", $A$2, TODAY()), 2, FALSE), """")"),40.26)</f>
        <v>40.26</v>
      </c>
      <c r="K72" s="18">
        <f>IFERROR(__xludf.DUMMYFUNCTION("IFERROR(VLOOKUP($A72, GOOGLEFINANCE(K$1, ""price"", $A$2, TODAY()), 2, FALSE), """")"),41.85)</f>
        <v>41.85</v>
      </c>
      <c r="L72" s="18">
        <f>IFERROR(__xludf.DUMMYFUNCTION("IFERROR(VLOOKUP($A72, GOOGLEFINANCE(L$1, ""price"", $A$2, TODAY()), 2, FALSE), """")"),40.26)</f>
        <v>40.26</v>
      </c>
      <c r="M72" s="196">
        <f>IFERROR(__xludf.DUMMYFUNCTION("IFERROR(VLOOKUP($A72, GOOGLEFINANCE(M$1, ""price"", $A$2, TODAY()), 2, FALSE), """")"),41.59)</f>
        <v>41.59</v>
      </c>
      <c r="O72" s="18">
        <v>0.1911954187544739</v>
      </c>
      <c r="P72" s="18">
        <v>0.1767716535433071</v>
      </c>
      <c r="Q72" s="18">
        <v>0.08797423049391553</v>
      </c>
      <c r="R72" s="18">
        <v>0.17471367215461706</v>
      </c>
      <c r="S72" s="18">
        <v>0.24039012168933432</v>
      </c>
      <c r="T72" s="18">
        <v>0.1455798138869005</v>
      </c>
      <c r="U72" s="18">
        <v>0.23885110952040087</v>
      </c>
      <c r="V72" s="18">
        <v>0.07204724409448819</v>
      </c>
      <c r="W72" s="18">
        <v>0.0748926270579814</v>
      </c>
      <c r="X72" s="18">
        <v>0.07204724409448819</v>
      </c>
      <c r="Y72" s="196">
        <v>0.07442734430923409</v>
      </c>
      <c r="AA72" s="18">
        <v>-0.03532697496453041</v>
      </c>
      <c r="AB72" s="18">
        <v>-0.036262753945054516</v>
      </c>
      <c r="AC72" s="18">
        <v>0.010704726371366435</v>
      </c>
      <c r="AD72" s="18">
        <v>0.023549679217485187</v>
      </c>
      <c r="AE72" s="18">
        <v>0.06976976577059957</v>
      </c>
      <c r="AF72" s="18">
        <v>0.06870225145595077</v>
      </c>
      <c r="AG72" s="18">
        <v>-0.007875246949659909</v>
      </c>
      <c r="AH72" s="18">
        <v>-0.014217656227338393</v>
      </c>
      <c r="AI72" s="18">
        <v>0.02090567393044851</v>
      </c>
      <c r="AJ72" s="18">
        <v>0.061516563505133126</v>
      </c>
      <c r="AK72" s="18">
        <v>0.06295796384597074</v>
      </c>
    </row>
    <row r="73">
      <c r="A73" s="230">
        <f>IFERROR(__xludf.DUMMYFUNCTION("""COMPUTED_VALUE"""),45784.66666666667)</f>
        <v>45784.66667</v>
      </c>
      <c r="B73" s="18">
        <f>IFERROR(__xludf.DUMMYFUNCTION("""COMPUTED_VALUE"""),561.15)</f>
        <v>561.15</v>
      </c>
      <c r="C73" s="18">
        <f>IFERROR(__xludf.DUMMYFUNCTION("IFERROR(VLOOKUP($A73, GOOGLEFINANCE(C$1, ""price"", $A$2, TODAY()), 2, FALSE), """")"),107.91)</f>
        <v>107.91</v>
      </c>
      <c r="D73" s="18">
        <f>IFERROR(__xludf.DUMMYFUNCTION("IFERROR(VLOOKUP($A73, GOOGLEFINANCE(D$1, ""price"", $A$2, TODAY()), 2, FALSE), """")"),99.55)</f>
        <v>99.55</v>
      </c>
      <c r="E73" s="18">
        <f>IFERROR(__xludf.DUMMYFUNCTION("IFERROR(VLOOKUP($A73, GOOGLEFINANCE(E$1, ""price"", $A$2, TODAY()), 2, FALSE), """")"),49.45)</f>
        <v>49.45</v>
      </c>
      <c r="F73" s="18">
        <f>IFERROR(__xludf.DUMMYFUNCTION("IFERROR(VLOOKUP($A73, GOOGLEFINANCE(F$1, ""price"", $A$2, TODAY()), 2, FALSE), """")"),97.45)</f>
        <v>97.45</v>
      </c>
      <c r="G73" s="18">
        <f>IFERROR(__xludf.DUMMYFUNCTION("IFERROR(VLOOKUP($A73, GOOGLEFINANCE(G$1, ""price"", $A$2, TODAY()), 2, FALSE), """")"),135.36)</f>
        <v>135.36</v>
      </c>
      <c r="H73" s="18">
        <f>IFERROR(__xludf.DUMMYFUNCTION("IFERROR(VLOOKUP($A73, GOOGLEFINANCE(H$1, ""price"", $A$2, TODAY()), 2, FALSE), """")"),81.48)</f>
        <v>81.48</v>
      </c>
      <c r="I73" s="18">
        <f>IFERROR(__xludf.DUMMYFUNCTION("IFERROR(VLOOKUP($A73, GOOGLEFINANCE(I$1, ""price"", $A$2, TODAY()), 2, FALSE), """")"),134.15)</f>
        <v>134.15</v>
      </c>
      <c r="J73" s="18">
        <f>IFERROR(__xludf.DUMMYFUNCTION("IFERROR(VLOOKUP($A73, GOOGLEFINANCE(J$1, ""price"", $A$2, TODAY()), 2, FALSE), """")"),40.28)</f>
        <v>40.28</v>
      </c>
      <c r="K73" s="18">
        <f>IFERROR(__xludf.DUMMYFUNCTION("IFERROR(VLOOKUP($A73, GOOGLEFINANCE(K$1, ""price"", $A$2, TODAY()), 2, FALSE), """")"),41.62)</f>
        <v>41.62</v>
      </c>
      <c r="L73" s="18">
        <f>IFERROR(__xludf.DUMMYFUNCTION("IFERROR(VLOOKUP($A73, GOOGLEFINANCE(L$1, ""price"", $A$2, TODAY()), 2, FALSE), """")"),40.38)</f>
        <v>40.38</v>
      </c>
      <c r="M73" s="196">
        <f>IFERROR(__xludf.DUMMYFUNCTION("IFERROR(VLOOKUP($A73, GOOGLEFINANCE(M$1, ""price"", $A$2, TODAY()), 2, FALSE), """")"),41.56)</f>
        <v>41.56</v>
      </c>
      <c r="O73" s="18">
        <v>0.19230152365677627</v>
      </c>
      <c r="P73" s="18">
        <v>0.17740354628887106</v>
      </c>
      <c r="Q73" s="18">
        <v>0.08812260536398468</v>
      </c>
      <c r="R73" s="18">
        <v>0.173661231399804</v>
      </c>
      <c r="S73" s="18">
        <v>0.24121892542101045</v>
      </c>
      <c r="T73" s="18">
        <v>0.1452018176958033</v>
      </c>
      <c r="U73" s="18">
        <v>0.23906263922302418</v>
      </c>
      <c r="V73" s="18">
        <v>0.07178116368172503</v>
      </c>
      <c r="W73" s="18">
        <v>0.07416911699189165</v>
      </c>
      <c r="X73" s="18">
        <v>0.071959369152633</v>
      </c>
      <c r="Y73" s="196">
        <v>0.07406219370934689</v>
      </c>
      <c r="AA73" s="18">
        <v>-0.03481291291120536</v>
      </c>
      <c r="AB73" s="18">
        <v>-0.0353456434954863</v>
      </c>
      <c r="AC73" s="18">
        <v>0.01648923607820496</v>
      </c>
      <c r="AD73" s="18">
        <v>0.013423408066449927</v>
      </c>
      <c r="AE73" s="18">
        <v>0.10070535363929123</v>
      </c>
      <c r="AF73" s="18">
        <v>0.0730617036835246</v>
      </c>
      <c r="AG73" s="18">
        <v>-9.188038331664483E-4</v>
      </c>
      <c r="AH73" s="18">
        <v>-0.010605349102866146</v>
      </c>
      <c r="AI73" s="18">
        <v>0.0218295768643757</v>
      </c>
      <c r="AJ73" s="18">
        <v>0.0663961089633196</v>
      </c>
      <c r="AK73" s="18">
        <v>0.06819352974165782</v>
      </c>
    </row>
    <row r="74">
      <c r="A74" s="230">
        <f>IFERROR(__xludf.DUMMYFUNCTION("""COMPUTED_VALUE"""),45785.66666666667)</f>
        <v>45785.66667</v>
      </c>
      <c r="B74" s="18">
        <f>IFERROR(__xludf.DUMMYFUNCTION("""COMPUTED_VALUE"""),565.06)</f>
        <v>565.06</v>
      </c>
      <c r="C74" s="18">
        <f>IFERROR(__xludf.DUMMYFUNCTION("IFERROR(VLOOKUP($A74, GOOGLEFINANCE(C$1, ""price"", $A$2, TODAY()), 2, FALSE), """")"),108.94)</f>
        <v>108.94</v>
      </c>
      <c r="D74" s="18">
        <f>IFERROR(__xludf.DUMMYFUNCTION("IFERROR(VLOOKUP($A74, GOOGLEFINANCE(D$1, ""price"", $A$2, TODAY()), 2, FALSE), """")"),100.72)</f>
        <v>100.72</v>
      </c>
      <c r="E74" s="18">
        <f>IFERROR(__xludf.DUMMYFUNCTION("IFERROR(VLOOKUP($A74, GOOGLEFINANCE(E$1, ""price"", $A$2, TODAY()), 2, FALSE), """")"),49.86)</f>
        <v>49.86</v>
      </c>
      <c r="F74" s="18">
        <f>IFERROR(__xludf.DUMMYFUNCTION("IFERROR(VLOOKUP($A74, GOOGLEFINANCE(F$1, ""price"", $A$2, TODAY()), 2, FALSE), """")"),97.68)</f>
        <v>97.68</v>
      </c>
      <c r="G74" s="18">
        <f>IFERROR(__xludf.DUMMYFUNCTION("IFERROR(VLOOKUP($A74, GOOGLEFINANCE(G$1, ""price"", $A$2, TODAY()), 2, FALSE), """")"),134.14)</f>
        <v>134.14</v>
      </c>
      <c r="H74" s="18">
        <f>IFERROR(__xludf.DUMMYFUNCTION("IFERROR(VLOOKUP($A74, GOOGLEFINANCE(H$1, ""price"", $A$2, TODAY()), 2, FALSE), """")"),81.38)</f>
        <v>81.38</v>
      </c>
      <c r="I74" s="18">
        <f>IFERROR(__xludf.DUMMYFUNCTION("IFERROR(VLOOKUP($A74, GOOGLEFINANCE(I$1, ""price"", $A$2, TODAY()), 2, FALSE), """")"),136.0)</f>
        <v>136</v>
      </c>
      <c r="J74" s="18">
        <f>IFERROR(__xludf.DUMMYFUNCTION("IFERROR(VLOOKUP($A74, GOOGLEFINANCE(J$1, ""price"", $A$2, TODAY()), 2, FALSE), """")"),40.81)</f>
        <v>40.81</v>
      </c>
      <c r="K74" s="18">
        <f>IFERROR(__xludf.DUMMYFUNCTION("IFERROR(VLOOKUP($A74, GOOGLEFINANCE(K$1, ""price"", $A$2, TODAY()), 2, FALSE), """")"),42.17)</f>
        <v>42.17</v>
      </c>
      <c r="L74" s="18">
        <f>IFERROR(__xludf.DUMMYFUNCTION("IFERROR(VLOOKUP($A74, GOOGLEFINANCE(L$1, ""price"", $A$2, TODAY()), 2, FALSE), """")"),40.05)</f>
        <v>40.05</v>
      </c>
      <c r="M74" s="196">
        <f>IFERROR(__xludf.DUMMYFUNCTION("IFERROR(VLOOKUP($A74, GOOGLEFINANCE(M$1, ""price"", $A$2, TODAY()), 2, FALSE), """")"),41.36)</f>
        <v>41.36</v>
      </c>
      <c r="O74" s="18">
        <v>0.1927936856263052</v>
      </c>
      <c r="P74" s="18">
        <v>0.17824655788765797</v>
      </c>
      <c r="Q74" s="18">
        <v>0.08823841715923973</v>
      </c>
      <c r="R74" s="18">
        <v>0.17286659823735534</v>
      </c>
      <c r="S74" s="18">
        <v>0.23739071956960323</v>
      </c>
      <c r="T74" s="18">
        <v>0.14402010405974588</v>
      </c>
      <c r="U74" s="18">
        <v>0.24068240540827526</v>
      </c>
      <c r="V74" s="18">
        <v>0.07222241885817436</v>
      </c>
      <c r="W74" s="18">
        <v>0.07462924291225712</v>
      </c>
      <c r="X74" s="18">
        <v>0.0708774289455987</v>
      </c>
      <c r="Y74" s="196">
        <v>0.07319576682122253</v>
      </c>
      <c r="AA74" s="18">
        <v>-0.028943447795716448</v>
      </c>
      <c r="AB74" s="18">
        <v>-0.02385955694354902</v>
      </c>
      <c r="AC74" s="18">
        <v>0.01601512862411658</v>
      </c>
      <c r="AD74" s="18">
        <v>0.009702360225826823</v>
      </c>
      <c r="AE74" s="18">
        <v>0.07442683027033525</v>
      </c>
      <c r="AF74" s="18">
        <v>0.04804178756615185</v>
      </c>
      <c r="AG74" s="18">
        <v>-3.282702773620416E-4</v>
      </c>
      <c r="AH74" s="18">
        <v>-0.0038671002336454485</v>
      </c>
      <c r="AI74" s="18">
        <v>0.02264058412558212</v>
      </c>
      <c r="AJ74" s="18">
        <v>0.03359562102292446</v>
      </c>
      <c r="AK74" s="18">
        <v>0.0416768492952293</v>
      </c>
    </row>
    <row r="75">
      <c r="A75" s="230">
        <f>IFERROR(__xludf.DUMMYFUNCTION("""COMPUTED_VALUE"""),45786.66666666667)</f>
        <v>45786.66667</v>
      </c>
      <c r="B75" s="18">
        <f>IFERROR(__xludf.DUMMYFUNCTION("""COMPUTED_VALUE"""),564.34)</f>
        <v>564.34</v>
      </c>
      <c r="C75" s="18">
        <f>IFERROR(__xludf.DUMMYFUNCTION("IFERROR(VLOOKUP($A75, GOOGLEFINANCE(C$1, ""price"", $A$2, TODAY()), 2, FALSE), """")"),108.8)</f>
        <v>108.8</v>
      </c>
      <c r="D75" s="18">
        <f>IFERROR(__xludf.DUMMYFUNCTION("IFERROR(VLOOKUP($A75, GOOGLEFINANCE(D$1, ""price"", $A$2, TODAY()), 2, FALSE), """")"),101.21)</f>
        <v>101.21</v>
      </c>
      <c r="E75" s="18">
        <f>IFERROR(__xludf.DUMMYFUNCTION("IFERROR(VLOOKUP($A75, GOOGLEFINANCE(E$1, ""price"", $A$2, TODAY()), 2, FALSE), """")"),49.86)</f>
        <v>49.86</v>
      </c>
      <c r="F75" s="18">
        <f>IFERROR(__xludf.DUMMYFUNCTION("IFERROR(VLOOKUP($A75, GOOGLEFINANCE(F$1, ""price"", $A$2, TODAY()), 2, FALSE), """")"),97.18)</f>
        <v>97.18</v>
      </c>
      <c r="G75" s="18">
        <f>IFERROR(__xludf.DUMMYFUNCTION("IFERROR(VLOOKUP($A75, GOOGLEFINANCE(G$1, ""price"", $A$2, TODAY()), 2, FALSE), """")"),132.68)</f>
        <v>132.68</v>
      </c>
      <c r="H75" s="18">
        <f>IFERROR(__xludf.DUMMYFUNCTION("IFERROR(VLOOKUP($A75, GOOGLEFINANCE(H$1, ""price"", $A$2, TODAY()), 2, FALSE), """")"),80.91)</f>
        <v>80.91</v>
      </c>
      <c r="I75" s="18">
        <f>IFERROR(__xludf.DUMMYFUNCTION("IFERROR(VLOOKUP($A75, GOOGLEFINANCE(I$1, ""price"", $A$2, TODAY()), 2, FALSE), """")"),136.11)</f>
        <v>136.11</v>
      </c>
      <c r="J75" s="18">
        <f>IFERROR(__xludf.DUMMYFUNCTION("IFERROR(VLOOKUP($A75, GOOGLEFINANCE(J$1, ""price"", $A$2, TODAY()), 2, FALSE), """")"),41.22)</f>
        <v>41.22</v>
      </c>
      <c r="K75" s="18">
        <f>IFERROR(__xludf.DUMMYFUNCTION("IFERROR(VLOOKUP($A75, GOOGLEFINANCE(K$1, ""price"", $A$2, TODAY()), 2, FALSE), """")"),42.28)</f>
        <v>42.28</v>
      </c>
      <c r="L75" s="18">
        <f>IFERROR(__xludf.DUMMYFUNCTION("IFERROR(VLOOKUP($A75, GOOGLEFINANCE(L$1, ""price"", $A$2, TODAY()), 2, FALSE), """")"),40.12)</f>
        <v>40.12</v>
      </c>
      <c r="M75" s="196">
        <f>IFERROR(__xludf.DUMMYFUNCTION("IFERROR(VLOOKUP($A75, GOOGLEFINANCE(M$1, ""price"", $A$2, TODAY()), 2, FALSE), """")"),41.61)</f>
        <v>41.61</v>
      </c>
      <c r="O75" s="18">
        <v>0.19279157954424636</v>
      </c>
      <c r="P75" s="18">
        <v>0.17934224049331962</v>
      </c>
      <c r="Q75" s="18">
        <v>0.08835099408158202</v>
      </c>
      <c r="R75" s="18">
        <v>0.17220115533189212</v>
      </c>
      <c r="S75" s="18">
        <v>0.23510649608392103</v>
      </c>
      <c r="T75" s="18">
        <v>0.1433710174717369</v>
      </c>
      <c r="U75" s="18">
        <v>0.24118439238756778</v>
      </c>
      <c r="V75" s="18">
        <v>0.07304107452953892</v>
      </c>
      <c r="W75" s="18">
        <v>0.07491937484495162</v>
      </c>
      <c r="X75" s="18">
        <v>0.07109189495694085</v>
      </c>
      <c r="Y75" s="196">
        <v>0.07373214728709643</v>
      </c>
      <c r="AA75" s="18">
        <v>-0.02463383086256965</v>
      </c>
      <c r="AB75" s="18">
        <v>-0.020900778196154657</v>
      </c>
      <c r="AC75" s="18">
        <v>0.01760342475820975</v>
      </c>
      <c r="AD75" s="18">
        <v>0.005324489076540484</v>
      </c>
      <c r="AE75" s="18">
        <v>0.04966774342975344</v>
      </c>
      <c r="AF75" s="18">
        <v>0.038029226047350706</v>
      </c>
      <c r="AG75" s="18">
        <v>-0.0032566006628683697</v>
      </c>
      <c r="AH75" s="18">
        <v>0.015465757731680796</v>
      </c>
      <c r="AI75" s="18">
        <v>0.022676143645078195</v>
      </c>
      <c r="AJ75" s="18">
        <v>0.028055584896915287</v>
      </c>
      <c r="AK75" s="18">
        <v>0.042886025184306176</v>
      </c>
    </row>
    <row r="76">
      <c r="A76" s="230">
        <f>IFERROR(__xludf.DUMMYFUNCTION("""COMPUTED_VALUE"""),45789.66666666667)</f>
        <v>45789.66667</v>
      </c>
      <c r="B76" s="18">
        <f>IFERROR(__xludf.DUMMYFUNCTION("""COMPUTED_VALUE"""),582.99)</f>
        <v>582.99</v>
      </c>
      <c r="C76" s="18">
        <f>IFERROR(__xludf.DUMMYFUNCTION("IFERROR(VLOOKUP($A76, GOOGLEFINANCE(C$1, ""price"", $A$2, TODAY()), 2, FALSE), """")"),113.85)</f>
        <v>113.85</v>
      </c>
      <c r="D76" s="18">
        <f>IFERROR(__xludf.DUMMYFUNCTION("IFERROR(VLOOKUP($A76, GOOGLEFINANCE(D$1, ""price"", $A$2, TODAY()), 2, FALSE), """")"),106.24)</f>
        <v>106.24</v>
      </c>
      <c r="E76" s="18">
        <f>IFERROR(__xludf.DUMMYFUNCTION("IFERROR(VLOOKUP($A76, GOOGLEFINANCE(E$1, ""price"", $A$2, TODAY()), 2, FALSE), """")"),50.87)</f>
        <v>50.87</v>
      </c>
      <c r="F76" s="18">
        <f>IFERROR(__xludf.DUMMYFUNCTION("IFERROR(VLOOKUP($A76, GOOGLEFINANCE(F$1, ""price"", $A$2, TODAY()), 2, FALSE), """")"),99.2)</f>
        <v>99.2</v>
      </c>
      <c r="G76" s="18">
        <f>IFERROR(__xludf.DUMMYFUNCTION("IFERROR(VLOOKUP($A76, GOOGLEFINANCE(G$1, ""price"", $A$2, TODAY()), 2, FALSE), """")"),135.96)</f>
        <v>135.96</v>
      </c>
      <c r="H76" s="18">
        <f>IFERROR(__xludf.DUMMYFUNCTION("IFERROR(VLOOKUP($A76, GOOGLEFINANCE(H$1, ""price"", $A$2, TODAY()), 2, FALSE), """")"),81.03)</f>
        <v>81.03</v>
      </c>
      <c r="I76" s="18">
        <f>IFERROR(__xludf.DUMMYFUNCTION("IFERROR(VLOOKUP($A76, GOOGLEFINANCE(I$1, ""price"", $A$2, TODAY()), 2, FALSE), """")"),140.3)</f>
        <v>140.3</v>
      </c>
      <c r="J76" s="18">
        <f>IFERROR(__xludf.DUMMYFUNCTION("IFERROR(VLOOKUP($A76, GOOGLEFINANCE(J$1, ""price"", $A$2, TODAY()), 2, FALSE), """")"),42.29)</f>
        <v>42.29</v>
      </c>
      <c r="K76" s="18">
        <f>IFERROR(__xludf.DUMMYFUNCTION("IFERROR(VLOOKUP($A76, GOOGLEFINANCE(K$1, ""price"", $A$2, TODAY()), 2, FALSE), """")"),43.26)</f>
        <v>43.26</v>
      </c>
      <c r="L76" s="18">
        <f>IFERROR(__xludf.DUMMYFUNCTION("IFERROR(VLOOKUP($A76, GOOGLEFINANCE(L$1, ""price"", $A$2, TODAY()), 2, FALSE), """")"),39.88)</f>
        <v>39.88</v>
      </c>
      <c r="M76" s="196">
        <f>IFERROR(__xludf.DUMMYFUNCTION("IFERROR(VLOOKUP($A76, GOOGLEFINANCE(M$1, ""price"", $A$2, TODAY()), 2, FALSE), """")"),41.65)</f>
        <v>41.65</v>
      </c>
      <c r="O76" s="18">
        <v>0.19528636854834558</v>
      </c>
      <c r="P76" s="18">
        <v>0.18223297140602754</v>
      </c>
      <c r="Q76" s="18">
        <v>0.08725707130482512</v>
      </c>
      <c r="R76" s="18">
        <v>0.17015729257791729</v>
      </c>
      <c r="S76" s="18">
        <v>0.23321154736787938</v>
      </c>
      <c r="T76" s="18">
        <v>0.13899037719343385</v>
      </c>
      <c r="U76" s="18">
        <v>0.2406559289181633</v>
      </c>
      <c r="V76" s="18">
        <v>0.07253983773306574</v>
      </c>
      <c r="W76" s="18">
        <v>0.07420367416250707</v>
      </c>
      <c r="X76" s="18">
        <v>0.06840597608878368</v>
      </c>
      <c r="Y76" s="196">
        <v>0.07144204874869209</v>
      </c>
      <c r="AA76" s="18">
        <v>-0.009497814367467883</v>
      </c>
      <c r="AB76" s="18">
        <v>-0.0016459473118853873</v>
      </c>
      <c r="AC76" s="18">
        <v>0.005518575468330678</v>
      </c>
      <c r="AD76" s="18">
        <v>-0.0064971977819582305</v>
      </c>
      <c r="AE76" s="18">
        <v>0.03241712399927854</v>
      </c>
      <c r="AF76" s="18">
        <v>0.004476076704095666</v>
      </c>
      <c r="AG76" s="18">
        <v>-0.007734253018857551</v>
      </c>
      <c r="AH76" s="18">
        <v>0.02276185056919089</v>
      </c>
      <c r="AI76" s="18">
        <v>0.011458652052413587</v>
      </c>
      <c r="AJ76" s="18">
        <v>-0.014022416369930402</v>
      </c>
      <c r="AK76" s="18">
        <v>0.009437118721127957</v>
      </c>
    </row>
    <row r="77">
      <c r="A77" s="230">
        <f>IFERROR(__xludf.DUMMYFUNCTION("""COMPUTED_VALUE"""),45790.66666666667)</f>
        <v>45790.66667</v>
      </c>
      <c r="B77" s="18">
        <f>IFERROR(__xludf.DUMMYFUNCTION("""COMPUTED_VALUE"""),586.84)</f>
        <v>586.84</v>
      </c>
      <c r="C77" s="18">
        <f>IFERROR(__xludf.DUMMYFUNCTION("IFERROR(VLOOKUP($A77, GOOGLEFINANCE(C$1, ""price"", $A$2, TODAY()), 2, FALSE), """")"),116.31)</f>
        <v>116.31</v>
      </c>
      <c r="D77" s="18">
        <f>IFERROR(__xludf.DUMMYFUNCTION("IFERROR(VLOOKUP($A77, GOOGLEFINANCE(D$1, ""price"", $A$2, TODAY()), 2, FALSE), """")"),107.64)</f>
        <v>107.64</v>
      </c>
      <c r="E77" s="18">
        <f>IFERROR(__xludf.DUMMYFUNCTION("IFERROR(VLOOKUP($A77, GOOGLEFINANCE(E$1, ""price"", $A$2, TODAY()), 2, FALSE), """")"),51.08)</f>
        <v>51.08</v>
      </c>
      <c r="F77" s="18">
        <f>IFERROR(__xludf.DUMMYFUNCTION("IFERROR(VLOOKUP($A77, GOOGLEFINANCE(F$1, ""price"", $A$2, TODAY()), 2, FALSE), """")"),100.17)</f>
        <v>100.17</v>
      </c>
      <c r="G77" s="18">
        <f>IFERROR(__xludf.DUMMYFUNCTION("IFERROR(VLOOKUP($A77, GOOGLEFINANCE(G$1, ""price"", $A$2, TODAY()), 2, FALSE), """")"),131.87)</f>
        <v>131.87</v>
      </c>
      <c r="H77" s="18">
        <f>IFERROR(__xludf.DUMMYFUNCTION("IFERROR(VLOOKUP($A77, GOOGLEFINANCE(H$1, ""price"", $A$2, TODAY()), 2, FALSE), """")"),79.94)</f>
        <v>79.94</v>
      </c>
      <c r="I77" s="18">
        <f>IFERROR(__xludf.DUMMYFUNCTION("IFERROR(VLOOKUP($A77, GOOGLEFINANCE(I$1, ""price"", $A$2, TODAY()), 2, FALSE), """")"),141.28)</f>
        <v>141.28</v>
      </c>
      <c r="J77" s="18">
        <f>IFERROR(__xludf.DUMMYFUNCTION("IFERROR(VLOOKUP($A77, GOOGLEFINANCE(J$1, ""price"", $A$2, TODAY()), 2, FALSE), """")"),42.89)</f>
        <v>42.89</v>
      </c>
      <c r="K77" s="18">
        <f>IFERROR(__xludf.DUMMYFUNCTION("IFERROR(VLOOKUP($A77, GOOGLEFINANCE(K$1, ""price"", $A$2, TODAY()), 2, FALSE), """")"),43.05)</f>
        <v>43.05</v>
      </c>
      <c r="L77" s="18">
        <f>IFERROR(__xludf.DUMMYFUNCTION("IFERROR(VLOOKUP($A77, GOOGLEFINANCE(L$1, ""price"", $A$2, TODAY()), 2, FALSE), """")"),39.83)</f>
        <v>39.83</v>
      </c>
      <c r="M77" s="196">
        <f>IFERROR(__xludf.DUMMYFUNCTION("IFERROR(VLOOKUP($A77, GOOGLEFINANCE(M$1, ""price"", $A$2, TODAY()), 2, FALSE), """")"),41.09)</f>
        <v>41.09</v>
      </c>
      <c r="O77" s="18">
        <v>0.19819712357712493</v>
      </c>
      <c r="P77" s="18">
        <v>0.18342307954467998</v>
      </c>
      <c r="Q77" s="18">
        <v>0.08704246472633084</v>
      </c>
      <c r="R77" s="18">
        <v>0.1706938858973485</v>
      </c>
      <c r="S77" s="18">
        <v>0.2247120169040965</v>
      </c>
      <c r="T77" s="18">
        <v>0.13622111648831026</v>
      </c>
      <c r="U77" s="18">
        <v>0.24074705200736146</v>
      </c>
      <c r="V77" s="18">
        <v>0.07308636084793128</v>
      </c>
      <c r="W77" s="18">
        <v>0.07335900756594642</v>
      </c>
      <c r="X77" s="18">
        <v>0.06787199236589189</v>
      </c>
      <c r="Y77" s="196">
        <v>0.07001908527026106</v>
      </c>
      <c r="AA77" s="18">
        <v>0.005658718869381296</v>
      </c>
      <c r="AB77" s="18">
        <v>0.00668739777877736</v>
      </c>
      <c r="AC77" s="18">
        <v>0.005125150233837861</v>
      </c>
      <c r="AD77" s="18">
        <v>-0.004271669248813614</v>
      </c>
      <c r="AE77" s="18">
        <v>-0.010983524709772596</v>
      </c>
      <c r="AF77" s="18">
        <v>-0.022291901814833648</v>
      </c>
      <c r="AG77" s="18">
        <v>-0.007117288469118299</v>
      </c>
      <c r="AH77" s="18">
        <v>0.03658490499272893</v>
      </c>
      <c r="AI77" s="18">
        <v>-0.0015866015732017846</v>
      </c>
      <c r="AJ77" s="18">
        <v>-0.02783496800872176</v>
      </c>
      <c r="AK77" s="18">
        <v>-0.008815312739391845</v>
      </c>
    </row>
    <row r="78">
      <c r="A78" s="230">
        <f>IFERROR(__xludf.DUMMYFUNCTION("""COMPUTED_VALUE"""),45791.66666666667)</f>
        <v>45791.66667</v>
      </c>
      <c r="B78" s="18">
        <f>IFERROR(__xludf.DUMMYFUNCTION("""COMPUTED_VALUE"""),587.59)</f>
        <v>587.59</v>
      </c>
      <c r="C78" s="18">
        <f>IFERROR(__xludf.DUMMYFUNCTION("IFERROR(VLOOKUP($A78, GOOGLEFINANCE(C$1, ""price"", $A$2, TODAY()), 2, FALSE), """")"),117.07)</f>
        <v>117.07</v>
      </c>
      <c r="D78" s="18">
        <f>IFERROR(__xludf.DUMMYFUNCTION("IFERROR(VLOOKUP($A78, GOOGLEFINANCE(D$1, ""price"", $A$2, TODAY()), 2, FALSE), """")"),108.06)</f>
        <v>108.06</v>
      </c>
      <c r="E78" s="18">
        <f>IFERROR(__xludf.DUMMYFUNCTION("IFERROR(VLOOKUP($A78, GOOGLEFINANCE(E$1, ""price"", $A$2, TODAY()), 2, FALSE), """")"),50.94)</f>
        <v>50.94</v>
      </c>
      <c r="F78" s="18">
        <f>IFERROR(__xludf.DUMMYFUNCTION("IFERROR(VLOOKUP($A78, GOOGLEFINANCE(F$1, ""price"", $A$2, TODAY()), 2, FALSE), """")"),100.69)</f>
        <v>100.69</v>
      </c>
      <c r="G78" s="18">
        <f>IFERROR(__xludf.DUMMYFUNCTION("IFERROR(VLOOKUP($A78, GOOGLEFINANCE(G$1, ""price"", $A$2, TODAY()), 2, FALSE), """")"),128.77)</f>
        <v>128.77</v>
      </c>
      <c r="H78" s="18">
        <f>IFERROR(__xludf.DUMMYFUNCTION("IFERROR(VLOOKUP($A78, GOOGLEFINANCE(H$1, ""price"", $A$2, TODAY()), 2, FALSE), """")"),79.51)</f>
        <v>79.51</v>
      </c>
      <c r="I78" s="18">
        <f>IFERROR(__xludf.DUMMYFUNCTION("IFERROR(VLOOKUP($A78, GOOGLEFINANCE(I$1, ""price"", $A$2, TODAY()), 2, FALSE), """")"),140.6)</f>
        <v>140.6</v>
      </c>
      <c r="J78" s="18">
        <f>IFERROR(__xludf.DUMMYFUNCTION("IFERROR(VLOOKUP($A78, GOOGLEFINANCE(J$1, ""price"", $A$2, TODAY()), 2, FALSE), """")"),42.63)</f>
        <v>42.63</v>
      </c>
      <c r="K78" s="18">
        <f>IFERROR(__xludf.DUMMYFUNCTION("IFERROR(VLOOKUP($A78, GOOGLEFINANCE(K$1, ""price"", $A$2, TODAY()), 2, FALSE), """")"),42.65)</f>
        <v>42.65</v>
      </c>
      <c r="L78" s="18">
        <f>IFERROR(__xludf.DUMMYFUNCTION("IFERROR(VLOOKUP($A78, GOOGLEFINANCE(L$1, ""price"", $A$2, TODAY()), 2, FALSE), """")"),39.65)</f>
        <v>39.65</v>
      </c>
      <c r="M78" s="196">
        <f>IFERROR(__xludf.DUMMYFUNCTION("IFERROR(VLOOKUP($A78, GOOGLEFINANCE(M$1, ""price"", $A$2, TODAY()), 2, FALSE), """")"),40.74)</f>
        <v>40.74</v>
      </c>
      <c r="O78" s="18">
        <v>0.19923756360727715</v>
      </c>
      <c r="P78" s="18">
        <v>0.18390374240541874</v>
      </c>
      <c r="Q78" s="18">
        <v>0.08669310233325958</v>
      </c>
      <c r="R78" s="18">
        <v>0.17136098299834918</v>
      </c>
      <c r="S78" s="18">
        <v>0.21914940689936863</v>
      </c>
      <c r="T78" s="18">
        <v>0.1353154410388196</v>
      </c>
      <c r="U78" s="18">
        <v>0.23928249289470546</v>
      </c>
      <c r="V78" s="18">
        <v>0.07255058799503054</v>
      </c>
      <c r="W78" s="18">
        <v>0.07258462533399138</v>
      </c>
      <c r="X78" s="18">
        <v>0.06747902448986538</v>
      </c>
      <c r="Y78" s="196">
        <v>0.06933405946323117</v>
      </c>
      <c r="AA78" s="18">
        <v>0.012976328717180463</v>
      </c>
      <c r="AB78" s="18">
        <v>0.012852076900901066</v>
      </c>
      <c r="AC78" s="18">
        <v>0.004771159792477109</v>
      </c>
      <c r="AD78" s="18">
        <v>-0.009819941009043265</v>
      </c>
      <c r="AE78" s="18">
        <v>-0.029233749009226484</v>
      </c>
      <c r="AF78" s="18">
        <v>-0.03392996124587966</v>
      </c>
      <c r="AG78" s="18">
        <v>-0.013103638489895042</v>
      </c>
      <c r="AH78" s="18">
        <v>0.030632115983024732</v>
      </c>
      <c r="AI78" s="18">
        <v>-0.01566601390948763</v>
      </c>
      <c r="AJ78" s="18">
        <v>-0.03197577617122982</v>
      </c>
      <c r="AK78" s="18">
        <v>-0.008779742488621123</v>
      </c>
    </row>
    <row r="79">
      <c r="A79" s="230">
        <f>IFERROR(__xludf.DUMMYFUNCTION("""COMPUTED_VALUE"""),45792.66666666667)</f>
        <v>45792.66667</v>
      </c>
      <c r="B79" s="18">
        <f>IFERROR(__xludf.DUMMYFUNCTION("""COMPUTED_VALUE"""),590.46)</f>
        <v>590.46</v>
      </c>
      <c r="C79" s="18">
        <f>IFERROR(__xludf.DUMMYFUNCTION("IFERROR(VLOOKUP($A79, GOOGLEFINANCE(C$1, ""price"", $A$2, TODAY()), 2, FALSE), """")"),117.23)</f>
        <v>117.23</v>
      </c>
      <c r="D79" s="18">
        <f>IFERROR(__xludf.DUMMYFUNCTION("IFERROR(VLOOKUP($A79, GOOGLEFINANCE(D$1, ""price"", $A$2, TODAY()), 2, FALSE), """")"),107.82)</f>
        <v>107.82</v>
      </c>
      <c r="E79" s="18">
        <f>IFERROR(__xludf.DUMMYFUNCTION("IFERROR(VLOOKUP($A79, GOOGLEFINANCE(E$1, ""price"", $A$2, TODAY()), 2, FALSE), """")"),51.28)</f>
        <v>51.28</v>
      </c>
      <c r="F79" s="18">
        <f>IFERROR(__xludf.DUMMYFUNCTION("IFERROR(VLOOKUP($A79, GOOGLEFINANCE(F$1, ""price"", $A$2, TODAY()), 2, FALSE), """")"),101.09)</f>
        <v>101.09</v>
      </c>
      <c r="G79" s="18">
        <f>IFERROR(__xludf.DUMMYFUNCTION("IFERROR(VLOOKUP($A79, GOOGLEFINANCE(G$1, ""price"", $A$2, TODAY()), 2, FALSE), """")"),130.46)</f>
        <v>130.46</v>
      </c>
      <c r="H79" s="18">
        <f>IFERROR(__xludf.DUMMYFUNCTION("IFERROR(VLOOKUP($A79, GOOGLEFINANCE(H$1, ""price"", $A$2, TODAY()), 2, FALSE), """")"),81.14)</f>
        <v>81.14</v>
      </c>
      <c r="I79" s="18">
        <f>IFERROR(__xludf.DUMMYFUNCTION("IFERROR(VLOOKUP($A79, GOOGLEFINANCE(I$1, ""price"", $A$2, TODAY()), 2, FALSE), """")"),142.16)</f>
        <v>142.16</v>
      </c>
      <c r="J79" s="18">
        <f>IFERROR(__xludf.DUMMYFUNCTION("IFERROR(VLOOKUP($A79, GOOGLEFINANCE(J$1, ""price"", $A$2, TODAY()), 2, FALSE), """")"),42.81)</f>
        <v>42.81</v>
      </c>
      <c r="K79" s="18">
        <f>IFERROR(__xludf.DUMMYFUNCTION("IFERROR(VLOOKUP($A79, GOOGLEFINANCE(K$1, ""price"", $A$2, TODAY()), 2, FALSE), """")"),43.09)</f>
        <v>43.09</v>
      </c>
      <c r="L79" s="18">
        <f>IFERROR(__xludf.DUMMYFUNCTION("IFERROR(VLOOKUP($A79, GOOGLEFINANCE(L$1, ""price"", $A$2, TODAY()), 2, FALSE), """")"),40.49)</f>
        <v>40.49</v>
      </c>
      <c r="M79" s="196">
        <f>IFERROR(__xludf.DUMMYFUNCTION("IFERROR(VLOOKUP($A79, GOOGLEFINANCE(M$1, ""price"", $A$2, TODAY()), 2, FALSE), """")"),41.49)</f>
        <v>41.49</v>
      </c>
      <c r="O79" s="18">
        <v>0.19854012126138942</v>
      </c>
      <c r="P79" s="18">
        <v>0.18260339396402803</v>
      </c>
      <c r="Q79" s="18">
        <v>0.08684754259390982</v>
      </c>
      <c r="R79" s="18">
        <v>0.17120550079598956</v>
      </c>
      <c r="S79" s="18">
        <v>0.2209463807878603</v>
      </c>
      <c r="T79" s="18">
        <v>0.13741828404972395</v>
      </c>
      <c r="U79" s="18">
        <v>0.24076144023303864</v>
      </c>
      <c r="V79" s="18">
        <v>0.07250279443146021</v>
      </c>
      <c r="W79" s="18">
        <v>0.072977000982285</v>
      </c>
      <c r="X79" s="18">
        <v>0.06857365443891203</v>
      </c>
      <c r="Y79" s="196">
        <v>0.07026724926328624</v>
      </c>
      <c r="AA79" s="18">
        <v>0.009166260385571112</v>
      </c>
      <c r="AB79" s="18">
        <v>0.005690392193833382</v>
      </c>
      <c r="AC79" s="18">
        <v>0.0065611190353207505</v>
      </c>
      <c r="AD79" s="18">
        <v>-0.01071836825666228</v>
      </c>
      <c r="AE79" s="18">
        <v>-0.013551838330047916</v>
      </c>
      <c r="AF79" s="18">
        <v>-0.014814009333061429</v>
      </c>
      <c r="AG79" s="18">
        <v>-0.007003870264443046</v>
      </c>
      <c r="AH79" s="18">
        <v>0.033985289021798426</v>
      </c>
      <c r="AI79" s="18">
        <v>-0.00942303696938418</v>
      </c>
      <c r="AJ79" s="18">
        <v>-0.016272699328962248</v>
      </c>
      <c r="AK79" s="18">
        <v>0.004561415393647739</v>
      </c>
    </row>
    <row r="80">
      <c r="A80" s="230">
        <f>IFERROR(__xludf.DUMMYFUNCTION("""COMPUTED_VALUE"""),45793.66666666667)</f>
        <v>45793.66667</v>
      </c>
      <c r="B80" s="18">
        <f>IFERROR(__xludf.DUMMYFUNCTION("""COMPUTED_VALUE"""),594.2)</f>
        <v>594.2</v>
      </c>
      <c r="C80" s="18">
        <f>IFERROR(__xludf.DUMMYFUNCTION("IFERROR(VLOOKUP($A80, GOOGLEFINANCE(C$1, ""price"", $A$2, TODAY()), 2, FALSE), """")"),117.45)</f>
        <v>117.45</v>
      </c>
      <c r="D80" s="18">
        <f>IFERROR(__xludf.DUMMYFUNCTION("IFERROR(VLOOKUP($A80, GOOGLEFINANCE(D$1, ""price"", $A$2, TODAY()), 2, FALSE), """")"),108.84)</f>
        <v>108.84</v>
      </c>
      <c r="E80" s="18">
        <f>IFERROR(__xludf.DUMMYFUNCTION("IFERROR(VLOOKUP($A80, GOOGLEFINANCE(E$1, ""price"", $A$2, TODAY()), 2, FALSE), """")"),51.59)</f>
        <v>51.59</v>
      </c>
      <c r="F80" s="18">
        <f>IFERROR(__xludf.DUMMYFUNCTION("IFERROR(VLOOKUP($A80, GOOGLEFINANCE(F$1, ""price"", $A$2, TODAY()), 2, FALSE), """")"),101.78)</f>
        <v>101.78</v>
      </c>
      <c r="G80" s="18">
        <f>IFERROR(__xludf.DUMMYFUNCTION("IFERROR(VLOOKUP($A80, GOOGLEFINANCE(G$1, ""price"", $A$2, TODAY()), 2, FALSE), """")"),133.09)</f>
        <v>133.09</v>
      </c>
      <c r="H80" s="18">
        <f>IFERROR(__xludf.DUMMYFUNCTION("IFERROR(VLOOKUP($A80, GOOGLEFINANCE(H$1, ""price"", $A$2, TODAY()), 2, FALSE), """")"),82.07)</f>
        <v>82.07</v>
      </c>
      <c r="I80" s="18">
        <f>IFERROR(__xludf.DUMMYFUNCTION("IFERROR(VLOOKUP($A80, GOOGLEFINANCE(I$1, ""price"", $A$2, TODAY()), 2, FALSE), """")"),143.78)</f>
        <v>143.78</v>
      </c>
      <c r="J80" s="18">
        <f>IFERROR(__xludf.DUMMYFUNCTION("IFERROR(VLOOKUP($A80, GOOGLEFINANCE(J$1, ""price"", $A$2, TODAY()), 2, FALSE), """")"),42.74)</f>
        <v>42.74</v>
      </c>
      <c r="K80" s="18">
        <f>IFERROR(__xludf.DUMMYFUNCTION("IFERROR(VLOOKUP($A80, GOOGLEFINANCE(K$1, ""price"", $A$2, TODAY()), 2, FALSE), """")"),43.53)</f>
        <v>43.53</v>
      </c>
      <c r="L80" s="18">
        <f>IFERROR(__xludf.DUMMYFUNCTION("IFERROR(VLOOKUP($A80, GOOGLEFINANCE(L$1, ""price"", $A$2, TODAY()), 2, FALSE), """")"),41.09)</f>
        <v>41.09</v>
      </c>
      <c r="M80" s="196">
        <f>IFERROR(__xludf.DUMMYFUNCTION("IFERROR(VLOOKUP($A80, GOOGLEFINANCE(M$1, ""price"", $A$2, TODAY()), 2, FALSE), """")"),42.01)</f>
        <v>42.01</v>
      </c>
      <c r="O80" s="18">
        <v>0.19766072029619655</v>
      </c>
      <c r="P80" s="18">
        <v>0.18317064961292492</v>
      </c>
      <c r="Q80" s="18">
        <v>0.08682261864692023</v>
      </c>
      <c r="R80" s="18">
        <v>0.17128912823964995</v>
      </c>
      <c r="S80" s="18">
        <v>0.22398182430158195</v>
      </c>
      <c r="T80" s="18">
        <v>0.138118478626725</v>
      </c>
      <c r="U80" s="18">
        <v>0.24197239986536517</v>
      </c>
      <c r="V80" s="18">
        <v>0.0719286435543588</v>
      </c>
      <c r="W80" s="18">
        <v>0.07325816223493772</v>
      </c>
      <c r="X80" s="18">
        <v>0.06915180074049142</v>
      </c>
      <c r="Y80" s="196">
        <v>0.07070010097610231</v>
      </c>
      <c r="AA80" s="18">
        <v>0.009322808665288562</v>
      </c>
      <c r="AB80" s="18">
        <v>0.007082074407490424</v>
      </c>
      <c r="AC80" s="18">
        <v>0.0045923413510085</v>
      </c>
      <c r="AD80" s="18">
        <v>-0.009928664987886138</v>
      </c>
      <c r="AE80" s="18">
        <v>-0.004832635635345084</v>
      </c>
      <c r="AF80" s="18">
        <v>-0.019781958853888226</v>
      </c>
      <c r="AG80" s="18">
        <v>-0.004980213832055491</v>
      </c>
      <c r="AH80" s="18">
        <v>0.015965774847920056</v>
      </c>
      <c r="AI80" s="18">
        <v>-0.009929187120775063</v>
      </c>
      <c r="AJ80" s="18">
        <v>-0.011929451595707352</v>
      </c>
      <c r="AK80" s="18">
        <v>0.0074590422310683024</v>
      </c>
    </row>
    <row r="81">
      <c r="A81" s="230">
        <f>IFERROR(__xludf.DUMMYFUNCTION("""COMPUTED_VALUE"""),45796.66666666667)</f>
        <v>45796.66667</v>
      </c>
      <c r="B81" s="18">
        <f>IFERROR(__xludf.DUMMYFUNCTION("""COMPUTED_VALUE"""),594.85)</f>
        <v>594.85</v>
      </c>
      <c r="C81" s="18">
        <f>IFERROR(__xludf.DUMMYFUNCTION("IFERROR(VLOOKUP($A81, GOOGLEFINANCE(C$1, ""price"", $A$2, TODAY()), 2, FALSE), """")"),117.28)</f>
        <v>117.28</v>
      </c>
      <c r="D81" s="18">
        <f>IFERROR(__xludf.DUMMYFUNCTION("IFERROR(VLOOKUP($A81, GOOGLEFINANCE(D$1, ""price"", $A$2, TODAY()), 2, FALSE), """")"),108.58)</f>
        <v>108.58</v>
      </c>
      <c r="E81" s="18">
        <f>IFERROR(__xludf.DUMMYFUNCTION("IFERROR(VLOOKUP($A81, GOOGLEFINANCE(E$1, ""price"", $A$2, TODAY()), 2, FALSE), """")"),51.62)</f>
        <v>51.62</v>
      </c>
      <c r="F81" s="18">
        <f>IFERROR(__xludf.DUMMYFUNCTION("IFERROR(VLOOKUP($A81, GOOGLEFINANCE(F$1, ""price"", $A$2, TODAY()), 2, FALSE), """")"),101.88)</f>
        <v>101.88</v>
      </c>
      <c r="G81" s="18">
        <f>IFERROR(__xludf.DUMMYFUNCTION("IFERROR(VLOOKUP($A81, GOOGLEFINANCE(G$1, ""price"", $A$2, TODAY()), 2, FALSE), """")"),134.37)</f>
        <v>134.37</v>
      </c>
      <c r="H81" s="18">
        <f>IFERROR(__xludf.DUMMYFUNCTION("IFERROR(VLOOKUP($A81, GOOGLEFINANCE(H$1, ""price"", $A$2, TODAY()), 2, FALSE), """")"),82.31)</f>
        <v>82.31</v>
      </c>
      <c r="I81" s="18">
        <f>IFERROR(__xludf.DUMMYFUNCTION("IFERROR(VLOOKUP($A81, GOOGLEFINANCE(I$1, ""price"", $A$2, TODAY()), 2, FALSE), """")"),144.27)</f>
        <v>144.27</v>
      </c>
      <c r="J81" s="18">
        <f>IFERROR(__xludf.DUMMYFUNCTION("IFERROR(VLOOKUP($A81, GOOGLEFINANCE(J$1, ""price"", $A$2, TODAY()), 2, FALSE), """")"),42.19)</f>
        <v>42.19</v>
      </c>
      <c r="K81" s="18">
        <f>IFERROR(__xludf.DUMMYFUNCTION("IFERROR(VLOOKUP($A81, GOOGLEFINANCE(K$1, ""price"", $A$2, TODAY()), 2, FALSE), """")"),43.64)</f>
        <v>43.64</v>
      </c>
      <c r="L81" s="18">
        <f>IFERROR(__xludf.DUMMYFUNCTION("IFERROR(VLOOKUP($A81, GOOGLEFINANCE(L$1, ""price"", $A$2, TODAY()), 2, FALSE), """")"),41.27)</f>
        <v>41.27</v>
      </c>
      <c r="M81" s="196">
        <f>IFERROR(__xludf.DUMMYFUNCTION("IFERROR(VLOOKUP($A81, GOOGLEFINANCE(M$1, ""price"", $A$2, TODAY()), 2, FALSE), """")"),42.1)</f>
        <v>42.1</v>
      </c>
      <c r="O81" s="18">
        <v>0.19715894763385727</v>
      </c>
      <c r="P81" s="18">
        <v>0.18253341178448348</v>
      </c>
      <c r="Q81" s="18">
        <v>0.08677817937295115</v>
      </c>
      <c r="R81" s="18">
        <v>0.17127006808439102</v>
      </c>
      <c r="S81" s="18">
        <v>0.22588887954946624</v>
      </c>
      <c r="T81" s="18">
        <v>0.1383710179036732</v>
      </c>
      <c r="U81" s="18">
        <v>0.24253173068840886</v>
      </c>
      <c r="V81" s="18">
        <v>0.07092544338908968</v>
      </c>
      <c r="W81" s="18">
        <v>0.07336303269731866</v>
      </c>
      <c r="X81" s="18">
        <v>0.06937883500042027</v>
      </c>
      <c r="Y81" s="196">
        <v>0.07077414474237202</v>
      </c>
      <c r="AA81" s="18">
        <v>0.003880378068516155</v>
      </c>
      <c r="AB81" s="18">
        <v>-0.004937049277043415</v>
      </c>
      <c r="AC81" s="18">
        <v>0.0072436822367971665</v>
      </c>
      <c r="AD81" s="18">
        <v>-0.00563444560903803</v>
      </c>
      <c r="AE81" s="18">
        <v>0.01039808675595455</v>
      </c>
      <c r="AF81" s="18">
        <v>-0.006582132210876779</v>
      </c>
      <c r="AG81" s="18">
        <v>4.370427496538376E-4</v>
      </c>
      <c r="AH81" s="18">
        <v>0.01396797725418053</v>
      </c>
      <c r="AI81" s="18">
        <v>-0.005308330756423896</v>
      </c>
      <c r="AJ81" s="18">
        <v>0.004243347465681779</v>
      </c>
      <c r="AK81" s="18">
        <v>0.012784692918257345</v>
      </c>
    </row>
    <row r="82">
      <c r="A82" s="230">
        <f>IFERROR(__xludf.DUMMYFUNCTION("""COMPUTED_VALUE"""),45797.66666666667)</f>
        <v>45797.66667</v>
      </c>
      <c r="B82" s="18">
        <f>IFERROR(__xludf.DUMMYFUNCTION("""COMPUTED_VALUE"""),592.85)</f>
        <v>592.85</v>
      </c>
      <c r="C82" s="18">
        <f>IFERROR(__xludf.DUMMYFUNCTION("IFERROR(VLOOKUP($A82, GOOGLEFINANCE(C$1, ""price"", $A$2, TODAY()), 2, FALSE), """")"),116.84)</f>
        <v>116.84</v>
      </c>
      <c r="D82" s="18">
        <f>IFERROR(__xludf.DUMMYFUNCTION("IFERROR(VLOOKUP($A82, GOOGLEFINANCE(D$1, ""price"", $A$2, TODAY()), 2, FALSE), """")"),108.02)</f>
        <v>108.02</v>
      </c>
      <c r="E82" s="18">
        <f>IFERROR(__xludf.DUMMYFUNCTION("IFERROR(VLOOKUP($A82, GOOGLEFINANCE(E$1, ""price"", $A$2, TODAY()), 2, FALSE), """")"),51.34)</f>
        <v>51.34</v>
      </c>
      <c r="F82" s="18">
        <f>IFERROR(__xludf.DUMMYFUNCTION("IFERROR(VLOOKUP($A82, GOOGLEFINANCE(F$1, ""price"", $A$2, TODAY()), 2, FALSE), """")"),101.63)</f>
        <v>101.63</v>
      </c>
      <c r="G82" s="18">
        <f>IFERROR(__xludf.DUMMYFUNCTION("IFERROR(VLOOKUP($A82, GOOGLEFINANCE(G$1, ""price"", $A$2, TODAY()), 2, FALSE), """")"),134.7)</f>
        <v>134.7</v>
      </c>
      <c r="H82" s="18">
        <f>IFERROR(__xludf.DUMMYFUNCTION("IFERROR(VLOOKUP($A82, GOOGLEFINANCE(H$1, ""price"", $A$2, TODAY()), 2, FALSE), """")"),82.6)</f>
        <v>82.6</v>
      </c>
      <c r="I82" s="18">
        <f>IFERROR(__xludf.DUMMYFUNCTION("IFERROR(VLOOKUP($A82, GOOGLEFINANCE(I$1, ""price"", $A$2, TODAY()), 2, FALSE), """")"),143.75)</f>
        <v>143.75</v>
      </c>
      <c r="J82" s="18">
        <f>IFERROR(__xludf.DUMMYFUNCTION("IFERROR(VLOOKUP($A82, GOOGLEFINANCE(J$1, ""price"", $A$2, TODAY()), 2, FALSE), """")"),41.8)</f>
        <v>41.8</v>
      </c>
      <c r="K82" s="18">
        <f>IFERROR(__xludf.DUMMYFUNCTION("IFERROR(VLOOKUP($A82, GOOGLEFINANCE(K$1, ""price"", $A$2, TODAY()), 2, FALSE), """")"),43.56)</f>
        <v>43.56</v>
      </c>
      <c r="L82" s="18">
        <f>IFERROR(__xludf.DUMMYFUNCTION("IFERROR(VLOOKUP($A82, GOOGLEFINANCE(L$1, ""price"", $A$2, TODAY()), 2, FALSE), """")"),41.39)</f>
        <v>41.39</v>
      </c>
      <c r="M82" s="196">
        <f>IFERROR(__xludf.DUMMYFUNCTION("IFERROR(VLOOKUP($A82, GOOGLEFINANCE(M$1, ""price"", $A$2, TODAY()), 2, FALSE), """")"),41.88)</f>
        <v>41.88</v>
      </c>
      <c r="O82" s="18">
        <v>0.19708189255292233</v>
      </c>
      <c r="P82" s="18">
        <v>0.1822046048747575</v>
      </c>
      <c r="Q82" s="18">
        <v>0.08659863371847853</v>
      </c>
      <c r="R82" s="18">
        <v>0.17142616176098505</v>
      </c>
      <c r="S82" s="18">
        <v>0.22720755671755077</v>
      </c>
      <c r="T82" s="18">
        <v>0.13932697984313064</v>
      </c>
      <c r="U82" s="18">
        <v>0.242472800877119</v>
      </c>
      <c r="V82" s="18">
        <v>0.07050687357679007</v>
      </c>
      <c r="W82" s="18">
        <v>0.07347558404318125</v>
      </c>
      <c r="X82" s="18">
        <v>0.06981529897950578</v>
      </c>
      <c r="Y82" s="196">
        <v>0.07064181496162604</v>
      </c>
      <c r="AA82" s="18">
        <v>0.0018244309819153148</v>
      </c>
      <c r="AB82" s="18">
        <v>-0.0032845083484620563</v>
      </c>
      <c r="AC82" s="18">
        <v>0.006060782671701848</v>
      </c>
      <c r="AD82" s="18">
        <v>-0.010291767664206808</v>
      </c>
      <c r="AE82" s="18">
        <v>0.015642662835458898</v>
      </c>
      <c r="AF82" s="18">
        <v>0.0013040579995495793</v>
      </c>
      <c r="AG82" s="18">
        <v>-6.413796668361949E-4</v>
      </c>
      <c r="AH82" s="18">
        <v>0.014915621045477057</v>
      </c>
      <c r="AI82" s="18">
        <v>0.004041037193650565</v>
      </c>
      <c r="AJ82" s="18">
        <v>0.01893582491246404</v>
      </c>
      <c r="AK82" s="18">
        <v>0.005042699283380969</v>
      </c>
    </row>
    <row r="83">
      <c r="A83" s="230">
        <f>IFERROR(__xludf.DUMMYFUNCTION("""COMPUTED_VALUE"""),45798.66666666667)</f>
        <v>45798.66667</v>
      </c>
      <c r="B83" s="18">
        <f>IFERROR(__xludf.DUMMYFUNCTION("""COMPUTED_VALUE"""),582.86)</f>
        <v>582.86</v>
      </c>
      <c r="C83" s="18">
        <f>IFERROR(__xludf.DUMMYFUNCTION("IFERROR(VLOOKUP($A83, GOOGLEFINANCE(C$1, ""price"", $A$2, TODAY()), 2, FALSE), """")"),114.64)</f>
        <v>114.64</v>
      </c>
      <c r="D83" s="18">
        <f>IFERROR(__xludf.DUMMYFUNCTION("IFERROR(VLOOKUP($A83, GOOGLEFINANCE(D$1, ""price"", $A$2, TODAY()), 2, FALSE), """")"),105.83)</f>
        <v>105.83</v>
      </c>
      <c r="E83" s="18">
        <f>IFERROR(__xludf.DUMMYFUNCTION("IFERROR(VLOOKUP($A83, GOOGLEFINANCE(E$1, ""price"", $A$2, TODAY()), 2, FALSE), """")"),50.29)</f>
        <v>50.29</v>
      </c>
      <c r="F83" s="18">
        <f>IFERROR(__xludf.DUMMYFUNCTION("IFERROR(VLOOKUP($A83, GOOGLEFINANCE(F$1, ""price"", $A$2, TODAY()), 2, FALSE), """")"),100.87)</f>
        <v>100.87</v>
      </c>
      <c r="G83" s="18">
        <f>IFERROR(__xludf.DUMMYFUNCTION("IFERROR(VLOOKUP($A83, GOOGLEFINANCE(G$1, ""price"", $A$2, TODAY()), 2, FALSE), """")"),131.58)</f>
        <v>131.58</v>
      </c>
      <c r="H83" s="18">
        <f>IFERROR(__xludf.DUMMYFUNCTION("IFERROR(VLOOKUP($A83, GOOGLEFINANCE(H$1, ""price"", $A$2, TODAY()), 2, FALSE), """")"),81.64)</f>
        <v>81.64</v>
      </c>
      <c r="I83" s="18">
        <f>IFERROR(__xludf.DUMMYFUNCTION("IFERROR(VLOOKUP($A83, GOOGLEFINANCE(I$1, ""price"", $A$2, TODAY()), 2, FALSE), """")"),141.32)</f>
        <v>141.32</v>
      </c>
      <c r="J83" s="18">
        <f>IFERROR(__xludf.DUMMYFUNCTION("IFERROR(VLOOKUP($A83, GOOGLEFINANCE(J$1, ""price"", $A$2, TODAY()), 2, FALSE), """")"),41.03)</f>
        <v>41.03</v>
      </c>
      <c r="K83" s="18">
        <f>IFERROR(__xludf.DUMMYFUNCTION("IFERROR(VLOOKUP($A83, GOOGLEFINANCE(K$1, ""price"", $A$2, TODAY()), 2, FALSE), """")"),42.98)</f>
        <v>42.98</v>
      </c>
      <c r="L83" s="18">
        <f>IFERROR(__xludf.DUMMYFUNCTION("IFERROR(VLOOKUP($A83, GOOGLEFINANCE(L$1, ""price"", $A$2, TODAY()), 2, FALSE), """")"),40.63)</f>
        <v>40.63</v>
      </c>
      <c r="M83" s="196">
        <f>IFERROR(__xludf.DUMMYFUNCTION("IFERROR(VLOOKUP($A83, GOOGLEFINANCE(M$1, ""price"", $A$2, TODAY()), 2, FALSE), """")"),40.77)</f>
        <v>40.77</v>
      </c>
      <c r="O83" s="18">
        <v>0.19668531036612566</v>
      </c>
      <c r="P83" s="18">
        <v>0.1815701883814295</v>
      </c>
      <c r="Q83" s="18">
        <v>0.08628143979686374</v>
      </c>
      <c r="R83" s="18">
        <v>0.1730604261743815</v>
      </c>
      <c r="S83" s="18">
        <v>0.22574889338777754</v>
      </c>
      <c r="T83" s="18">
        <v>0.14006794084342725</v>
      </c>
      <c r="U83" s="18">
        <v>0.24245959578629514</v>
      </c>
      <c r="V83" s="18">
        <v>0.0703942627732217</v>
      </c>
      <c r="W83" s="18">
        <v>0.07373983460865387</v>
      </c>
      <c r="X83" s="18">
        <v>0.06970799162749203</v>
      </c>
      <c r="Y83" s="196">
        <v>0.06994818652849741</v>
      </c>
      <c r="AA83" s="18">
        <v>0.0020218216329861427</v>
      </c>
      <c r="AB83" s="18">
        <v>-0.003298077454065851</v>
      </c>
      <c r="AC83" s="18">
        <v>0.0011870905042172808</v>
      </c>
      <c r="AD83" s="18">
        <v>0.01123296161808085</v>
      </c>
      <c r="AE83" s="18">
        <v>0.006370010150031025</v>
      </c>
      <c r="AF83" s="18">
        <v>0.006541085064720953</v>
      </c>
      <c r="AG83" s="18">
        <v>0.0023350696679285132</v>
      </c>
      <c r="AH83" s="18">
        <v>0.00987441646825804</v>
      </c>
      <c r="AI83" s="18">
        <v>0.007880227260509853</v>
      </c>
      <c r="AJ83" s="18">
        <v>0.014332933657254632</v>
      </c>
      <c r="AK83" s="18">
        <v>-0.010004138615018143</v>
      </c>
    </row>
    <row r="84">
      <c r="A84" s="230">
        <f>IFERROR(__xludf.DUMMYFUNCTION("""COMPUTED_VALUE"""),45799.66666666667)</f>
        <v>45799.66667</v>
      </c>
      <c r="B84" s="18">
        <f>IFERROR(__xludf.DUMMYFUNCTION("""COMPUTED_VALUE"""),582.86)</f>
        <v>582.86</v>
      </c>
      <c r="C84" s="18">
        <f>IFERROR(__xludf.DUMMYFUNCTION("IFERROR(VLOOKUP($A84, GOOGLEFINANCE(C$1, ""price"", $A$2, TODAY()), 2, FALSE), """")"),114.67)</f>
        <v>114.67</v>
      </c>
      <c r="D84" s="18">
        <f>IFERROR(__xludf.DUMMYFUNCTION("IFERROR(VLOOKUP($A84, GOOGLEFINANCE(D$1, ""price"", $A$2, TODAY()), 2, FALSE), """")"),105.83)</f>
        <v>105.83</v>
      </c>
      <c r="E84" s="18">
        <f>IFERROR(__xludf.DUMMYFUNCTION("IFERROR(VLOOKUP($A84, GOOGLEFINANCE(E$1, ""price"", $A$2, TODAY()), 2, FALSE), """")"),50.29)</f>
        <v>50.29</v>
      </c>
      <c r="F84" s="18">
        <f>IFERROR(__xludf.DUMMYFUNCTION("IFERROR(VLOOKUP($A84, GOOGLEFINANCE(F$1, ""price"", $A$2, TODAY()), 2, FALSE), """")"),100.87)</f>
        <v>100.87</v>
      </c>
      <c r="G84" s="18">
        <f>IFERROR(__xludf.DUMMYFUNCTION("IFERROR(VLOOKUP($A84, GOOGLEFINANCE(G$1, ""price"", $A$2, TODAY()), 2, FALSE), """")"),130.55)</f>
        <v>130.55</v>
      </c>
      <c r="H84" s="18">
        <f>IFERROR(__xludf.DUMMYFUNCTION("IFERROR(VLOOKUP($A84, GOOGLEFINANCE(H$1, ""price"", $A$2, TODAY()), 2, FALSE), """")"),81.3)</f>
        <v>81.3</v>
      </c>
      <c r="I84" s="18">
        <f>IFERROR(__xludf.DUMMYFUNCTION("IFERROR(VLOOKUP($A84, GOOGLEFINANCE(I$1, ""price"", $A$2, TODAY()), 2, FALSE), """")"),141.32)</f>
        <v>141.32</v>
      </c>
      <c r="J84" s="18">
        <f>IFERROR(__xludf.DUMMYFUNCTION("IFERROR(VLOOKUP($A84, GOOGLEFINANCE(J$1, ""price"", $A$2, TODAY()), 2, FALSE), """")"),40.87)</f>
        <v>40.87</v>
      </c>
      <c r="K84" s="18">
        <f>IFERROR(__xludf.DUMMYFUNCTION("IFERROR(VLOOKUP($A84, GOOGLEFINANCE(K$1, ""price"", $A$2, TODAY()), 2, FALSE), """")"),42.94)</f>
        <v>42.94</v>
      </c>
      <c r="L84" s="18">
        <f>IFERROR(__xludf.DUMMYFUNCTION("IFERROR(VLOOKUP($A84, GOOGLEFINANCE(L$1, ""price"", $A$2, TODAY()), 2, FALSE), """")"),40.63)</f>
        <v>40.63</v>
      </c>
      <c r="M84" s="196">
        <f>IFERROR(__xludf.DUMMYFUNCTION("IFERROR(VLOOKUP($A84, GOOGLEFINANCE(M$1, ""price"", $A$2, TODAY()), 2, FALSE), """")"),40.77)</f>
        <v>40.77</v>
      </c>
      <c r="O84" s="18">
        <v>0.19673678070205539</v>
      </c>
      <c r="P84" s="18">
        <v>0.1815701883814295</v>
      </c>
      <c r="Q84" s="18">
        <v>0.08628143979686374</v>
      </c>
      <c r="R84" s="18">
        <v>0.1730604261743815</v>
      </c>
      <c r="S84" s="18">
        <v>0.22398174518752362</v>
      </c>
      <c r="T84" s="18">
        <v>0.139484610369557</v>
      </c>
      <c r="U84" s="18">
        <v>0.24245959578629514</v>
      </c>
      <c r="V84" s="18">
        <v>0.07011975431492982</v>
      </c>
      <c r="W84" s="18">
        <v>0.0736712074940809</v>
      </c>
      <c r="X84" s="18">
        <v>0.06970799162749203</v>
      </c>
      <c r="Y84" s="196">
        <v>0.06994818652849741</v>
      </c>
      <c r="AA84" s="18">
        <v>0.004284524319976057</v>
      </c>
      <c r="AB84" s="18">
        <v>0.0010818833501471392</v>
      </c>
      <c r="AC84" s="18">
        <v>-0.0020914874043658216</v>
      </c>
      <c r="AD84" s="18">
        <v>0.005917993914385633</v>
      </c>
      <c r="AE84" s="18">
        <v>-0.00473009050004114</v>
      </c>
      <c r="AF84" s="18">
        <v>-0.007475135751380035</v>
      </c>
      <c r="AG84" s="18">
        <v>5.829796981129398E-4</v>
      </c>
      <c r="AH84" s="18">
        <v>0.013683639825275762</v>
      </c>
      <c r="AI84" s="18">
        <v>0.00581591348010968</v>
      </c>
      <c r="AJ84" s="18">
        <v>0.0030564742511602905</v>
      </c>
      <c r="AK84" s="18">
        <v>-0.012059389934553244</v>
      </c>
    </row>
    <row r="85">
      <c r="A85" s="230">
        <f>IFERROR(__xludf.DUMMYFUNCTION("""COMPUTED_VALUE"""),45800.66666666667)</f>
        <v>45800.66667</v>
      </c>
      <c r="B85" s="18">
        <f>IFERROR(__xludf.DUMMYFUNCTION("""COMPUTED_VALUE"""),579.11)</f>
        <v>579.11</v>
      </c>
      <c r="C85" s="18">
        <f>IFERROR(__xludf.DUMMYFUNCTION("IFERROR(VLOOKUP($A85, GOOGLEFINANCE(C$1, ""price"", $A$2, TODAY()), 2, FALSE), """")"),113.41)</f>
        <v>113.41</v>
      </c>
      <c r="D85" s="18">
        <f>IFERROR(__xludf.DUMMYFUNCTION("IFERROR(VLOOKUP($A85, GOOGLEFINANCE(D$1, ""price"", $A$2, TODAY()), 2, FALSE), """")"),105.33)</f>
        <v>105.33</v>
      </c>
      <c r="E85" s="18">
        <f>IFERROR(__xludf.DUMMYFUNCTION("IFERROR(VLOOKUP($A85, GOOGLEFINANCE(E$1, ""price"", $A$2, TODAY()), 2, FALSE), """")"),50.05)</f>
        <v>50.05</v>
      </c>
      <c r="F85" s="18">
        <f>IFERROR(__xludf.DUMMYFUNCTION("IFERROR(VLOOKUP($A85, GOOGLEFINANCE(F$1, ""price"", $A$2, TODAY()), 2, FALSE), """")"),100.19)</f>
        <v>100.19</v>
      </c>
      <c r="G85" s="18">
        <f>IFERROR(__xludf.DUMMYFUNCTION("IFERROR(VLOOKUP($A85, GOOGLEFINANCE(G$1, ""price"", $A$2, TODAY()), 2, FALSE), """")"),130.34)</f>
        <v>130.34</v>
      </c>
      <c r="H85" s="18">
        <f>IFERROR(__xludf.DUMMYFUNCTION("IFERROR(VLOOKUP($A85, GOOGLEFINANCE(H$1, ""price"", $A$2, TODAY()), 2, FALSE), """")"),81.6)</f>
        <v>81.6</v>
      </c>
      <c r="I85" s="18">
        <f>IFERROR(__xludf.DUMMYFUNCTION("IFERROR(VLOOKUP($A85, GOOGLEFINANCE(I$1, ""price"", $A$2, TODAY()), 2, FALSE), """")"),140.83)</f>
        <v>140.83</v>
      </c>
      <c r="J85" s="18">
        <f>IFERROR(__xludf.DUMMYFUNCTION("IFERROR(VLOOKUP($A85, GOOGLEFINANCE(J$1, ""price"", $A$2, TODAY()), 2, FALSE), """")"),41.0)</f>
        <v>41</v>
      </c>
      <c r="K85" s="18">
        <f>IFERROR(__xludf.DUMMYFUNCTION("IFERROR(VLOOKUP($A85, GOOGLEFINANCE(K$1, ""price"", $A$2, TODAY()), 2, FALSE), """")"),42.85)</f>
        <v>42.85</v>
      </c>
      <c r="L85" s="18">
        <f>IFERROR(__xludf.DUMMYFUNCTION("IFERROR(VLOOKUP($A85, GOOGLEFINANCE(L$1, ""price"", $A$2, TODAY()), 2, FALSE), """")"),40.53)</f>
        <v>40.53</v>
      </c>
      <c r="M85" s="196">
        <f>IFERROR(__xludf.DUMMYFUNCTION("IFERROR(VLOOKUP($A85, GOOGLEFINANCE(M$1, ""price"", $A$2, TODAY()), 2, FALSE), """")"),40.64)</f>
        <v>40.64</v>
      </c>
      <c r="O85" s="18">
        <v>0.19583498817150455</v>
      </c>
      <c r="P85" s="18">
        <v>0.18188254390357617</v>
      </c>
      <c r="Q85" s="18">
        <v>0.0864257222289375</v>
      </c>
      <c r="R85" s="18">
        <v>0.17300685534699797</v>
      </c>
      <c r="S85" s="18">
        <v>0.2250695032031911</v>
      </c>
      <c r="T85" s="18">
        <v>0.14090587280482117</v>
      </c>
      <c r="U85" s="18">
        <v>0.24318350572430109</v>
      </c>
      <c r="V85" s="18">
        <v>0.07079829393379496</v>
      </c>
      <c r="W85" s="18">
        <v>0.07399285109910034</v>
      </c>
      <c r="X85" s="18">
        <v>0.0699867037350417</v>
      </c>
      <c r="Y85" s="196">
        <v>0.0701766503773031</v>
      </c>
      <c r="AA85" s="18">
        <v>-0.003491107150305206</v>
      </c>
      <c r="AB85" s="18">
        <v>0.006099884247210863</v>
      </c>
      <c r="AC85" s="18">
        <v>0.004813452771941007</v>
      </c>
      <c r="AD85" s="18">
        <v>0.006309060183701476</v>
      </c>
      <c r="AE85" s="18">
        <v>0.005130690503039492</v>
      </c>
      <c r="AF85" s="18">
        <v>0.00767760461082978</v>
      </c>
      <c r="AG85" s="18">
        <v>0.010497025223292988</v>
      </c>
      <c r="AH85" s="18">
        <v>0.016049801392242324</v>
      </c>
      <c r="AI85" s="18">
        <v>0.00981585942776353</v>
      </c>
      <c r="AJ85" s="18">
        <v>0.009535633263484167</v>
      </c>
      <c r="AK85" s="18">
        <v>-0.004680487075105932</v>
      </c>
    </row>
    <row r="86">
      <c r="A86" s="230">
        <f>IFERROR(__xludf.DUMMYFUNCTION("""COMPUTED_VALUE"""),45804.66666666667)</f>
        <v>45804.66667</v>
      </c>
      <c r="B86" s="18">
        <f>IFERROR(__xludf.DUMMYFUNCTION("""COMPUTED_VALUE"""),591.15)</f>
        <v>591.15</v>
      </c>
      <c r="C86" s="18">
        <f>IFERROR(__xludf.DUMMYFUNCTION("IFERROR(VLOOKUP($A86, GOOGLEFINANCE(C$1, ""price"", $A$2, TODAY()), 2, FALSE), """")"),116.1)</f>
        <v>116.1</v>
      </c>
      <c r="D86" s="18">
        <f>IFERROR(__xludf.DUMMYFUNCTION("IFERROR(VLOOKUP($A86, GOOGLEFINANCE(D$1, ""price"", $A$2, TODAY()), 2, FALSE), """")"),108.44)</f>
        <v>108.44</v>
      </c>
      <c r="E86" s="18">
        <f>IFERROR(__xludf.DUMMYFUNCTION("IFERROR(VLOOKUP($A86, GOOGLEFINANCE(E$1, ""price"", $A$2, TODAY()), 2, FALSE), """")"),50.93)</f>
        <v>50.93</v>
      </c>
      <c r="F86" s="18">
        <f>IFERROR(__xludf.DUMMYFUNCTION("IFERROR(VLOOKUP($A86, GOOGLEFINANCE(F$1, ""price"", $A$2, TODAY()), 2, FALSE), """")"),101.82)</f>
        <v>101.82</v>
      </c>
      <c r="G86" s="18">
        <f>IFERROR(__xludf.DUMMYFUNCTION("IFERROR(VLOOKUP($A86, GOOGLEFINANCE(G$1, ""price"", $A$2, TODAY()), 2, FALSE), """")"),132.16)</f>
        <v>132.16</v>
      </c>
      <c r="H86" s="18">
        <f>IFERROR(__xludf.DUMMYFUNCTION("IFERROR(VLOOKUP($A86, GOOGLEFINANCE(H$1, ""price"", $A$2, TODAY()), 2, FALSE), """")"),82.34)</f>
        <v>82.34</v>
      </c>
      <c r="I86" s="18">
        <f>IFERROR(__xludf.DUMMYFUNCTION("IFERROR(VLOOKUP($A86, GOOGLEFINANCE(I$1, ""price"", $A$2, TODAY()), 2, FALSE), """")"),143.31)</f>
        <v>143.31</v>
      </c>
      <c r="J86" s="18">
        <f>IFERROR(__xludf.DUMMYFUNCTION("IFERROR(VLOOKUP($A86, GOOGLEFINANCE(J$1, ""price"", $A$2, TODAY()), 2, FALSE), """")"),41.35)</f>
        <v>41.35</v>
      </c>
      <c r="K86" s="18">
        <f>IFERROR(__xludf.DUMMYFUNCTION("IFERROR(VLOOKUP($A86, GOOGLEFINANCE(K$1, ""price"", $A$2, TODAY()), 2, FALSE), """")"),43.6)</f>
        <v>43.6</v>
      </c>
      <c r="L86" s="18">
        <f>IFERROR(__xludf.DUMMYFUNCTION("IFERROR(VLOOKUP($A86, GOOGLEFINANCE(L$1, ""price"", $A$2, TODAY()), 2, FALSE), """")"),40.84)</f>
        <v>40.84</v>
      </c>
      <c r="M86" s="196">
        <f>IFERROR(__xludf.DUMMYFUNCTION("IFERROR(VLOOKUP($A86, GOOGLEFINANCE(M$1, ""price"", $A$2, TODAY()), 2, FALSE), """")"),41.31)</f>
        <v>41.31</v>
      </c>
      <c r="O86" s="18">
        <v>0.19639685359045927</v>
      </c>
      <c r="P86" s="18">
        <v>0.18343905946037384</v>
      </c>
      <c r="Q86" s="18">
        <v>0.08615410640277425</v>
      </c>
      <c r="R86" s="18">
        <v>0.17224054808424258</v>
      </c>
      <c r="S86" s="18">
        <v>0.22356423919478982</v>
      </c>
      <c r="T86" s="18">
        <v>0.1392878288082551</v>
      </c>
      <c r="U86" s="18">
        <v>0.24242578025881759</v>
      </c>
      <c r="V86" s="18">
        <v>0.06994840565000424</v>
      </c>
      <c r="W86" s="18">
        <v>0.07375454622346275</v>
      </c>
      <c r="X86" s="18">
        <v>0.06908568045335364</v>
      </c>
      <c r="Y86" s="196">
        <v>0.06988074092869831</v>
      </c>
      <c r="AA86" s="18">
        <v>-0.009809689108205455</v>
      </c>
      <c r="AB86" s="18">
        <v>0.015096444056203584</v>
      </c>
      <c r="AC86" s="18">
        <v>0.00539548327387851</v>
      </c>
      <c r="AD86" s="18">
        <v>0.010440589583074145</v>
      </c>
      <c r="AE86" s="18">
        <v>0.0017620637572146602</v>
      </c>
      <c r="AF86" s="18">
        <v>0.0027546120086086034</v>
      </c>
      <c r="AG86" s="18">
        <v>0.005340081775974559</v>
      </c>
      <c r="AH86" s="18">
        <v>-0.002260226754940642</v>
      </c>
      <c r="AI86" s="18">
        <v>0.0021506145052181402</v>
      </c>
      <c r="AJ86" s="18">
        <v>-4.542897708841309E-4</v>
      </c>
      <c r="AK86" s="18">
        <v>3.652944329437524E-4</v>
      </c>
    </row>
    <row r="87">
      <c r="A87" s="230">
        <f>IFERROR(__xludf.DUMMYFUNCTION("""COMPUTED_VALUE"""),45805.66666666667)</f>
        <v>45805.66667</v>
      </c>
      <c r="B87" s="18">
        <f>IFERROR(__xludf.DUMMYFUNCTION("""COMPUTED_VALUE"""),587.73)</f>
        <v>587.73</v>
      </c>
      <c r="C87" s="18">
        <f>IFERROR(__xludf.DUMMYFUNCTION("IFERROR(VLOOKUP($A87, GOOGLEFINANCE(C$1, ""price"", $A$2, TODAY()), 2, FALSE), """")"),115.62)</f>
        <v>115.62</v>
      </c>
      <c r="D87" s="18">
        <f>IFERROR(__xludf.DUMMYFUNCTION("IFERROR(VLOOKUP($A87, GOOGLEFINANCE(D$1, ""price"", $A$2, TODAY()), 2, FALSE), """")"),107.44)</f>
        <v>107.44</v>
      </c>
      <c r="E87" s="18">
        <f>IFERROR(__xludf.DUMMYFUNCTION("IFERROR(VLOOKUP($A87, GOOGLEFINANCE(E$1, ""price"", $A$2, TODAY()), 2, FALSE), """")"),50.59)</f>
        <v>50.59</v>
      </c>
      <c r="F87" s="18">
        <f>IFERROR(__xludf.DUMMYFUNCTION("IFERROR(VLOOKUP($A87, GOOGLEFINANCE(F$1, ""price"", $A$2, TODAY()), 2, FALSE), """")"),101.8)</f>
        <v>101.8</v>
      </c>
      <c r="G87" s="18">
        <f>IFERROR(__xludf.DUMMYFUNCTION("IFERROR(VLOOKUP($A87, GOOGLEFINANCE(G$1, ""price"", $A$2, TODAY()), 2, FALSE), """")"),131.48)</f>
        <v>131.48</v>
      </c>
      <c r="H87" s="18">
        <f>IFERROR(__xludf.DUMMYFUNCTION("IFERROR(VLOOKUP($A87, GOOGLEFINANCE(H$1, ""price"", $A$2, TODAY()), 2, FALSE), """")"),81.78)</f>
        <v>81.78</v>
      </c>
      <c r="I87" s="18">
        <f>IFERROR(__xludf.DUMMYFUNCTION("IFERROR(VLOOKUP($A87, GOOGLEFINANCE(I$1, ""price"", $A$2, TODAY()), 2, FALSE), """")"),142.6)</f>
        <v>142.6</v>
      </c>
      <c r="J87" s="18">
        <f>IFERROR(__xludf.DUMMYFUNCTION("IFERROR(VLOOKUP($A87, GOOGLEFINANCE(J$1, ""price"", $A$2, TODAY()), 2, FALSE), """")"),40.83)</f>
        <v>40.83</v>
      </c>
      <c r="K87" s="18">
        <f>IFERROR(__xludf.DUMMYFUNCTION("IFERROR(VLOOKUP($A87, GOOGLEFINANCE(K$1, ""price"", $A$2, TODAY()), 2, FALSE), """")"),43.01)</f>
        <v>43.01</v>
      </c>
      <c r="L87" s="18">
        <f>IFERROR(__xludf.DUMMYFUNCTION("IFERROR(VLOOKUP($A87, GOOGLEFINANCE(L$1, ""price"", $A$2, TODAY()), 2, FALSE), """")"),40.27)</f>
        <v>40.27</v>
      </c>
      <c r="M87" s="196">
        <f>IFERROR(__xludf.DUMMYFUNCTION("IFERROR(VLOOKUP($A87, GOOGLEFINANCE(M$1, ""price"", $A$2, TODAY()), 2, FALSE), """")"),41.31)</f>
        <v>41.31</v>
      </c>
      <c r="O87" s="18">
        <v>0.19672298504415292</v>
      </c>
      <c r="P87" s="18">
        <v>0.182805029520358</v>
      </c>
      <c r="Q87" s="18">
        <v>0.08607694009153863</v>
      </c>
      <c r="R87" s="18">
        <v>0.17320878634747247</v>
      </c>
      <c r="S87" s="18">
        <v>0.2237081653140047</v>
      </c>
      <c r="T87" s="18">
        <v>0.13914552600683988</v>
      </c>
      <c r="U87" s="18">
        <v>0.24262841781089955</v>
      </c>
      <c r="V87" s="18">
        <v>0.06947067531009136</v>
      </c>
      <c r="W87" s="18">
        <v>0.07317986150102938</v>
      </c>
      <c r="X87" s="18">
        <v>0.06851785683902473</v>
      </c>
      <c r="Y87" s="196">
        <v>0.07028737685671993</v>
      </c>
      <c r="AA87" s="18">
        <v>-0.009855333806063848</v>
      </c>
      <c r="AB87" s="18">
        <v>0.013951984754904556</v>
      </c>
      <c r="AC87" s="18">
        <v>0.009959261837972244</v>
      </c>
      <c r="AD87" s="18">
        <v>0.009390886446795088</v>
      </c>
      <c r="AE87" s="18">
        <v>1.8311167810658446E-4</v>
      </c>
      <c r="AF87" s="18">
        <v>0.008525824778108593</v>
      </c>
      <c r="AG87" s="18">
        <v>0.005350806744885084</v>
      </c>
      <c r="AH87" s="18">
        <v>0.010240593888305227</v>
      </c>
      <c r="AI87" s="18">
        <v>-0.009762151128328012</v>
      </c>
      <c r="AJ87" s="18">
        <v>0.00869185835177877</v>
      </c>
      <c r="AK87" s="18">
        <v>0.0027856473599496834</v>
      </c>
    </row>
    <row r="88">
      <c r="A88" s="230">
        <f>IFERROR(__xludf.DUMMYFUNCTION("""COMPUTED_VALUE"""),45806.66666666667)</f>
        <v>45806.66667</v>
      </c>
      <c r="B88" s="18">
        <f>IFERROR(__xludf.DUMMYFUNCTION("""COMPUTED_VALUE"""),590.05)</f>
        <v>590.05</v>
      </c>
      <c r="C88" s="18">
        <f>IFERROR(__xludf.DUMMYFUNCTION("IFERROR(VLOOKUP($A88, GOOGLEFINANCE(C$1, ""price"", $A$2, TODAY()), 2, FALSE), """")"),115.82)</f>
        <v>115.82</v>
      </c>
      <c r="D88" s="18">
        <f>IFERROR(__xludf.DUMMYFUNCTION("IFERROR(VLOOKUP($A88, GOOGLEFINANCE(D$1, ""price"", $A$2, TODAY()), 2, FALSE), """")"),107.49)</f>
        <v>107.49</v>
      </c>
      <c r="E88" s="18">
        <f>IFERROR(__xludf.DUMMYFUNCTION("IFERROR(VLOOKUP($A88, GOOGLEFINANCE(E$1, ""price"", $A$2, TODAY()), 2, FALSE), """")"),50.85)</f>
        <v>50.85</v>
      </c>
      <c r="F88" s="18">
        <f>IFERROR(__xludf.DUMMYFUNCTION("IFERROR(VLOOKUP($A88, GOOGLEFINANCE(F$1, ""price"", $A$2, TODAY()), 2, FALSE), """")"),100.98)</f>
        <v>100.98</v>
      </c>
      <c r="G88" s="18">
        <f>IFERROR(__xludf.DUMMYFUNCTION("IFERROR(VLOOKUP($A88, GOOGLEFINANCE(G$1, ""price"", $A$2, TODAY()), 2, FALSE), """")"),132.36)</f>
        <v>132.36</v>
      </c>
      <c r="H88" s="18">
        <f>IFERROR(__xludf.DUMMYFUNCTION("IFERROR(VLOOKUP($A88, GOOGLEFINANCE(H$1, ""price"", $A$2, TODAY()), 2, FALSE), """")"),82.11)</f>
        <v>82.11</v>
      </c>
      <c r="I88" s="18">
        <f>IFERROR(__xludf.DUMMYFUNCTION("IFERROR(VLOOKUP($A88, GOOGLEFINANCE(I$1, ""price"", $A$2, TODAY()), 2, FALSE), """")"),142.73)</f>
        <v>142.73</v>
      </c>
      <c r="J88" s="18">
        <f>IFERROR(__xludf.DUMMYFUNCTION("IFERROR(VLOOKUP($A88, GOOGLEFINANCE(J$1, ""price"", $A$2, TODAY()), 2, FALSE), """")"),41.13)</f>
        <v>41.13</v>
      </c>
      <c r="K88" s="18">
        <f>IFERROR(__xludf.DUMMYFUNCTION("IFERROR(VLOOKUP($A88, GOOGLEFINANCE(K$1, ""price"", $A$2, TODAY()), 2, FALSE), """")"),43.17)</f>
        <v>43.17</v>
      </c>
      <c r="L88" s="18">
        <f>IFERROR(__xludf.DUMMYFUNCTION("IFERROR(VLOOKUP($A88, GOOGLEFINANCE(L$1, ""price"", $A$2, TODAY()), 2, FALSE), """")"),40.55)</f>
        <v>40.55</v>
      </c>
      <c r="M88" s="196">
        <f>IFERROR(__xludf.DUMMYFUNCTION("IFERROR(VLOOKUP($A88, GOOGLEFINANCE(M$1, ""price"", $A$2, TODAY()), 2, FALSE), """")"),41.69)</f>
        <v>41.69</v>
      </c>
      <c r="O88" s="18">
        <v>0.1962884501313448</v>
      </c>
      <c r="P88" s="18">
        <v>0.18217100245741888</v>
      </c>
      <c r="Q88" s="18">
        <v>0.08617913736124058</v>
      </c>
      <c r="R88" s="18">
        <v>0.17113803914922465</v>
      </c>
      <c r="S88" s="18">
        <v>0.22431997288365396</v>
      </c>
      <c r="T88" s="18">
        <v>0.13915769850012713</v>
      </c>
      <c r="U88" s="18">
        <v>0.24189475468180663</v>
      </c>
      <c r="V88" s="18">
        <v>0.06970595712227778</v>
      </c>
      <c r="W88" s="18">
        <v>0.07316329124650454</v>
      </c>
      <c r="X88" s="18">
        <v>0.06872298957715448</v>
      </c>
      <c r="Y88" s="196">
        <v>0.07065502923481061</v>
      </c>
      <c r="AA88" s="18">
        <v>-0.01406906622855908</v>
      </c>
      <c r="AB88" s="18">
        <v>0.031571784659335966</v>
      </c>
      <c r="AC88" s="18">
        <v>0.009053058481416132</v>
      </c>
      <c r="AD88" s="18">
        <v>-0.008853377759300174</v>
      </c>
      <c r="AE88" s="18">
        <v>-5.787700499514381E-4</v>
      </c>
      <c r="AF88" s="18">
        <v>0.013477503321876139</v>
      </c>
      <c r="AG88" s="18">
        <v>-0.0018391019757485472</v>
      </c>
      <c r="AH88" s="18">
        <v>0.009748848836512947</v>
      </c>
      <c r="AI88" s="18">
        <v>-0.008919829288727366</v>
      </c>
      <c r="AJ88" s="18">
        <v>0.008316896801866758</v>
      </c>
      <c r="AK88" s="18">
        <v>0.003399547119359081</v>
      </c>
    </row>
    <row r="89">
      <c r="A89" s="230">
        <f>IFERROR(__xludf.DUMMYFUNCTION("""COMPUTED_VALUE"""),45807.66666666667)</f>
        <v>45807.66667</v>
      </c>
      <c r="B89" s="18">
        <f>IFERROR(__xludf.DUMMYFUNCTION("""COMPUTED_VALUE"""),589.39)</f>
        <v>589.39</v>
      </c>
      <c r="C89" s="18">
        <f>IFERROR(__xludf.DUMMYFUNCTION("IFERROR(VLOOKUP($A89, GOOGLEFINANCE(C$1, ""price"", $A$2, TODAY()), 2, FALSE), """")"),115.46)</f>
        <v>115.46</v>
      </c>
      <c r="D89" s="18">
        <f>IFERROR(__xludf.DUMMYFUNCTION("IFERROR(VLOOKUP($A89, GOOGLEFINANCE(D$1, ""price"", $A$2, TODAY()), 2, FALSE), """")"),106.9)</f>
        <v>106.9</v>
      </c>
      <c r="E89" s="18">
        <f>IFERROR(__xludf.DUMMYFUNCTION("IFERROR(VLOOKUP($A89, GOOGLEFINANCE(E$1, ""price"", $A$2, TODAY()), 2, FALSE), """")"),50.96)</f>
        <v>50.96</v>
      </c>
      <c r="F89" s="18">
        <f>IFERROR(__xludf.DUMMYFUNCTION("IFERROR(VLOOKUP($A89, GOOGLEFINANCE(F$1, ""price"", $A$2, TODAY()), 2, FALSE), """")"),101.4)</f>
        <v>101.4</v>
      </c>
      <c r="G89" s="18">
        <f>IFERROR(__xludf.DUMMYFUNCTION("IFERROR(VLOOKUP($A89, GOOGLEFINANCE(G$1, ""price"", $A$2, TODAY()), 2, FALSE), """")"),132.64)</f>
        <v>132.64</v>
      </c>
      <c r="H89" s="18">
        <f>IFERROR(__xludf.DUMMYFUNCTION("IFERROR(VLOOKUP($A89, GOOGLEFINANCE(H$1, ""price"", $A$2, TODAY()), 2, FALSE), """")"),82.83)</f>
        <v>82.83</v>
      </c>
      <c r="I89" s="18">
        <f>IFERROR(__xludf.DUMMYFUNCTION("IFERROR(VLOOKUP($A89, GOOGLEFINANCE(I$1, ""price"", $A$2, TODAY()), 2, FALSE), """")"),142.82)</f>
        <v>142.82</v>
      </c>
      <c r="J89" s="18">
        <f>IFERROR(__xludf.DUMMYFUNCTION("IFERROR(VLOOKUP($A89, GOOGLEFINANCE(J$1, ""price"", $A$2, TODAY()), 2, FALSE), """")"),40.77)</f>
        <v>40.77</v>
      </c>
      <c r="K89" s="18">
        <f>IFERROR(__xludf.DUMMYFUNCTION("IFERROR(VLOOKUP($A89, GOOGLEFINANCE(K$1, ""price"", $A$2, TODAY()), 2, FALSE), """")"),43.17)</f>
        <v>43.17</v>
      </c>
      <c r="L89" s="18">
        <f>IFERROR(__xludf.DUMMYFUNCTION("IFERROR(VLOOKUP($A89, GOOGLEFINANCE(L$1, ""price"", $A$2, TODAY()), 2, FALSE), """")"),40.96)</f>
        <v>40.96</v>
      </c>
      <c r="M89" s="196">
        <f>IFERROR(__xludf.DUMMYFUNCTION("IFERROR(VLOOKUP($A89, GOOGLEFINANCE(M$1, ""price"", $A$2, TODAY()), 2, FALSE), """")"),41.73)</f>
        <v>41.73</v>
      </c>
      <c r="O89" s="18">
        <v>0.1958974532991737</v>
      </c>
      <c r="P89" s="18">
        <v>0.1813739629108061</v>
      </c>
      <c r="Q89" s="18">
        <v>0.08646227455504844</v>
      </c>
      <c r="R89" s="18">
        <v>0.17204228100239233</v>
      </c>
      <c r="S89" s="18">
        <v>0.2250462342421826</v>
      </c>
      <c r="T89" s="18">
        <v>0.1405351295407116</v>
      </c>
      <c r="U89" s="18">
        <v>0.24231832911993756</v>
      </c>
      <c r="V89" s="18">
        <v>0.06917321298291454</v>
      </c>
      <c r="W89" s="18">
        <v>0.07324521963385874</v>
      </c>
      <c r="X89" s="18">
        <v>0.06949558017611429</v>
      </c>
      <c r="Y89" s="196">
        <v>0.07080201564329221</v>
      </c>
      <c r="AA89" s="18">
        <v>-0.015187110507912993</v>
      </c>
      <c r="AB89" s="18">
        <v>0.024303856521636025</v>
      </c>
      <c r="AC89" s="18">
        <v>0.010199047911695125</v>
      </c>
      <c r="AD89" s="18">
        <v>-0.006099583070356407</v>
      </c>
      <c r="AE89" s="18">
        <v>0.003379973090201549</v>
      </c>
      <c r="AF89" s="18">
        <v>0.03072857770867854</v>
      </c>
      <c r="AG89" s="18">
        <v>0.0017429359616323303</v>
      </c>
      <c r="AH89" s="18">
        <v>-0.0063668466414910085</v>
      </c>
      <c r="AI89" s="18">
        <v>-1.3349529664785642E-4</v>
      </c>
      <c r="AJ89" s="18">
        <v>0.0255562045989437</v>
      </c>
      <c r="AK89" s="18">
        <v>0.012901615389734555</v>
      </c>
    </row>
    <row r="90">
      <c r="A90" s="230">
        <f>IFERROR(__xludf.DUMMYFUNCTION("""COMPUTED_VALUE"""),45810.66666666667)</f>
        <v>45810.66667</v>
      </c>
      <c r="B90" s="18">
        <f>IFERROR(__xludf.DUMMYFUNCTION("""COMPUTED_VALUE"""),592.71)</f>
        <v>592.71</v>
      </c>
      <c r="C90" s="18">
        <f>IFERROR(__xludf.DUMMYFUNCTION("IFERROR(VLOOKUP($A90, GOOGLEFINANCE(C$1, ""price"", $A$2, TODAY()), 2, FALSE), """")"),116.48)</f>
        <v>116.48</v>
      </c>
      <c r="D90" s="18">
        <f>IFERROR(__xludf.DUMMYFUNCTION("IFERROR(VLOOKUP($A90, GOOGLEFINANCE(D$1, ""price"", $A$2, TODAY()), 2, FALSE), """")"),107.15)</f>
        <v>107.15</v>
      </c>
      <c r="E90" s="18">
        <f>IFERROR(__xludf.DUMMYFUNCTION("IFERROR(VLOOKUP($A90, GOOGLEFINANCE(E$1, ""price"", $A$2, TODAY()), 2, FALSE), """")"),50.98)</f>
        <v>50.98</v>
      </c>
      <c r="F90" s="18">
        <f>IFERROR(__xludf.DUMMYFUNCTION("IFERROR(VLOOKUP($A90, GOOGLEFINANCE(F$1, ""price"", $A$2, TODAY()), 2, FALSE), """")"),101.9)</f>
        <v>101.9</v>
      </c>
      <c r="G90" s="18">
        <f>IFERROR(__xludf.DUMMYFUNCTION("IFERROR(VLOOKUP($A90, GOOGLEFINANCE(G$1, ""price"", $A$2, TODAY()), 2, FALSE), """")"),132.72)</f>
        <v>132.72</v>
      </c>
      <c r="H90" s="18">
        <f>IFERROR(__xludf.DUMMYFUNCTION("IFERROR(VLOOKUP($A90, GOOGLEFINANCE(H$1, ""price"", $A$2, TODAY()), 2, FALSE), """")"),82.88)</f>
        <v>82.88</v>
      </c>
      <c r="I90" s="18">
        <f>IFERROR(__xludf.DUMMYFUNCTION("IFERROR(VLOOKUP($A90, GOOGLEFINANCE(I$1, ""price"", $A$2, TODAY()), 2, FALSE), """")"),142.64)</f>
        <v>142.64</v>
      </c>
      <c r="J90" s="18">
        <f>IFERROR(__xludf.DUMMYFUNCTION("IFERROR(VLOOKUP($A90, GOOGLEFINANCE(J$1, ""price"", $A$2, TODAY()), 2, FALSE), """")"),41.3)</f>
        <v>41.3</v>
      </c>
      <c r="K90" s="18">
        <f>IFERROR(__xludf.DUMMYFUNCTION("IFERROR(VLOOKUP($A90, GOOGLEFINANCE(K$1, ""price"", $A$2, TODAY()), 2, FALSE), """")"),43.43)</f>
        <v>43.43</v>
      </c>
      <c r="L90" s="18">
        <f>IFERROR(__xludf.DUMMYFUNCTION("IFERROR(VLOOKUP($A90, GOOGLEFINANCE(L$1, ""price"", $A$2, TODAY()), 2, FALSE), """")"),41.09)</f>
        <v>41.09</v>
      </c>
      <c r="M90" s="196">
        <f>IFERROR(__xludf.DUMMYFUNCTION("IFERROR(VLOOKUP($A90, GOOGLEFINANCE(M$1, ""price"", $A$2, TODAY()), 2, FALSE), """")"),41.79)</f>
        <v>41.79</v>
      </c>
      <c r="O90" s="18">
        <v>0.19652106426414268</v>
      </c>
      <c r="P90" s="18">
        <v>0.1807798080005399</v>
      </c>
      <c r="Q90" s="18">
        <v>0.0860117089301682</v>
      </c>
      <c r="R90" s="18">
        <v>0.17192218791651903</v>
      </c>
      <c r="S90" s="18">
        <v>0.22392063572404716</v>
      </c>
      <c r="T90" s="18">
        <v>0.13983229572640918</v>
      </c>
      <c r="U90" s="18">
        <v>0.2406573197685208</v>
      </c>
      <c r="V90" s="18">
        <v>0.06967994466096404</v>
      </c>
      <c r="W90" s="18">
        <v>0.07327360766648107</v>
      </c>
      <c r="X90" s="18">
        <v>0.06932563985760322</v>
      </c>
      <c r="Y90" s="196">
        <v>0.07050665586880599</v>
      </c>
      <c r="AA90" s="18">
        <v>-0.01603279771294086</v>
      </c>
      <c r="AB90" s="18">
        <v>0.013746355542956223</v>
      </c>
      <c r="AC90" s="18">
        <v>0.011362776691044463</v>
      </c>
      <c r="AD90" s="18">
        <v>-0.003014237986866619</v>
      </c>
      <c r="AE90" s="18">
        <v>9.744825269963897E-4</v>
      </c>
      <c r="AF90" s="18">
        <v>0.02788221501854693</v>
      </c>
      <c r="AG90" s="18">
        <v>-0.0033330005608664948</v>
      </c>
      <c r="AH90" s="18">
        <v>-1.0363210608010931E-4</v>
      </c>
      <c r="AI90" s="18">
        <v>-0.00564116213090371</v>
      </c>
      <c r="AJ90" s="18">
        <v>0.030570146499937945</v>
      </c>
      <c r="AK90" s="18">
        <v>0.010067639546239127</v>
      </c>
    </row>
    <row r="91">
      <c r="A91" s="230">
        <f>IFERROR(__xludf.DUMMYFUNCTION("""COMPUTED_VALUE"""),45811.66666666667)</f>
        <v>45811.66667</v>
      </c>
      <c r="B91" s="18">
        <f>IFERROR(__xludf.DUMMYFUNCTION("""COMPUTED_VALUE"""),596.09)</f>
        <v>596.09</v>
      </c>
      <c r="C91" s="18">
        <f>IFERROR(__xludf.DUMMYFUNCTION("IFERROR(VLOOKUP($A91, GOOGLEFINANCE(C$1, ""price"", $A$2, TODAY()), 2, FALSE), """")"),118.23)</f>
        <v>118.23</v>
      </c>
      <c r="D91" s="18">
        <f>IFERROR(__xludf.DUMMYFUNCTION("IFERROR(VLOOKUP($A91, GOOGLEFINANCE(D$1, ""price"", $A$2, TODAY()), 2, FALSE), """")"),107.72)</f>
        <v>107.72</v>
      </c>
      <c r="E91" s="18">
        <f>IFERROR(__xludf.DUMMYFUNCTION("IFERROR(VLOOKUP($A91, GOOGLEFINANCE(E$1, ""price"", $A$2, TODAY()), 2, FALSE), """")"),51.08)</f>
        <v>51.08</v>
      </c>
      <c r="F91" s="18">
        <f>IFERROR(__xludf.DUMMYFUNCTION("IFERROR(VLOOKUP($A91, GOOGLEFINANCE(F$1, ""price"", $A$2, TODAY()), 2, FALSE), """")"),101.61)</f>
        <v>101.61</v>
      </c>
      <c r="G91" s="18">
        <f>IFERROR(__xludf.DUMMYFUNCTION("IFERROR(VLOOKUP($A91, GOOGLEFINANCE(G$1, ""price"", $A$2, TODAY()), 2, FALSE), """")"),133.03)</f>
        <v>133.03</v>
      </c>
      <c r="H91" s="18">
        <f>IFERROR(__xludf.DUMMYFUNCTION("IFERROR(VLOOKUP($A91, GOOGLEFINANCE(H$1, ""price"", $A$2, TODAY()), 2, FALSE), """")"),82.8)</f>
        <v>82.8</v>
      </c>
      <c r="I91" s="18">
        <f>IFERROR(__xludf.DUMMYFUNCTION("IFERROR(VLOOKUP($A91, GOOGLEFINANCE(I$1, ""price"", $A$2, TODAY()), 2, FALSE), """")"),143.74)</f>
        <v>143.74</v>
      </c>
      <c r="J91" s="18">
        <f>IFERROR(__xludf.DUMMYFUNCTION("IFERROR(VLOOKUP($A91, GOOGLEFINANCE(J$1, ""price"", $A$2, TODAY()), 2, FALSE), """")"),41.79)</f>
        <v>41.79</v>
      </c>
      <c r="K91" s="18">
        <f>IFERROR(__xludf.DUMMYFUNCTION("IFERROR(VLOOKUP($A91, GOOGLEFINANCE(K$1, ""price"", $A$2, TODAY()), 2, FALSE), """")"),43.87)</f>
        <v>43.87</v>
      </c>
      <c r="L91" s="18">
        <f>IFERROR(__xludf.DUMMYFUNCTION("IFERROR(VLOOKUP($A91, GOOGLEFINANCE(L$1, ""price"", $A$2, TODAY()), 2, FALSE), """")"),41.2)</f>
        <v>41.2</v>
      </c>
      <c r="M91" s="196">
        <f>IFERROR(__xludf.DUMMYFUNCTION("IFERROR(VLOOKUP($A91, GOOGLEFINANCE(M$1, ""price"", $A$2, TODAY()), 2, FALSE), """")"),41.64)</f>
        <v>41.64</v>
      </c>
      <c r="O91" s="18">
        <v>0.19834253216796122</v>
      </c>
      <c r="P91" s="18">
        <v>0.18071096646479556</v>
      </c>
      <c r="Q91" s="18">
        <v>0.08569175795601335</v>
      </c>
      <c r="R91" s="18">
        <v>0.1704608364508715</v>
      </c>
      <c r="S91" s="18">
        <v>0.22317099766813736</v>
      </c>
      <c r="T91" s="18">
        <v>0.13890519887936384</v>
      </c>
      <c r="U91" s="18">
        <v>0.24113808317535942</v>
      </c>
      <c r="V91" s="18">
        <v>0.07010686305759196</v>
      </c>
      <c r="W91" s="18">
        <v>0.07359626901977888</v>
      </c>
      <c r="X91" s="18">
        <v>0.0691170796356255</v>
      </c>
      <c r="Y91" s="196">
        <v>0.06985522320454965</v>
      </c>
      <c r="AA91" s="18">
        <v>-0.006838140984273933</v>
      </c>
      <c r="AB91" s="18">
        <v>0.007052020473008014</v>
      </c>
      <c r="AC91" s="18">
        <v>0.012122706386849424</v>
      </c>
      <c r="AD91" s="18">
        <v>-0.018320079767077946</v>
      </c>
      <c r="AE91" s="18">
        <v>-0.008033864433223181</v>
      </c>
      <c r="AF91" s="18">
        <v>0.024595735569554078</v>
      </c>
      <c r="AG91" s="18">
        <v>0.008708852059345018</v>
      </c>
      <c r="AH91" s="18">
        <v>-0.005877099158886345</v>
      </c>
      <c r="AI91" s="18">
        <v>-0.0016995519467331022</v>
      </c>
      <c r="AJ91" s="18">
        <v>0.030995013273634076</v>
      </c>
      <c r="AK91" s="18">
        <v>-0.002408524503911602</v>
      </c>
    </row>
    <row r="92">
      <c r="A92" s="230">
        <f>IFERROR(__xludf.DUMMYFUNCTION("""COMPUTED_VALUE"""),45812.66666666667)</f>
        <v>45812.66667</v>
      </c>
      <c r="B92" s="18">
        <f>IFERROR(__xludf.DUMMYFUNCTION("""COMPUTED_VALUE"""),595.93)</f>
        <v>595.93</v>
      </c>
      <c r="C92" s="18">
        <f>IFERROR(__xludf.DUMMYFUNCTION("IFERROR(VLOOKUP($A92, GOOGLEFINANCE(C$1, ""price"", $A$2, TODAY()), 2, FALSE), """")"),118.4)</f>
        <v>118.4</v>
      </c>
      <c r="D92" s="18">
        <f>IFERROR(__xludf.DUMMYFUNCTION("IFERROR(VLOOKUP($A92, GOOGLEFINANCE(D$1, ""price"", $A$2, TODAY()), 2, FALSE), """")"),107.44)</f>
        <v>107.44</v>
      </c>
      <c r="E92" s="18">
        <f>IFERROR(__xludf.DUMMYFUNCTION("IFERROR(VLOOKUP($A92, GOOGLEFINANCE(E$1, ""price"", $A$2, TODAY()), 2, FALSE), """")"),50.79)</f>
        <v>50.79</v>
      </c>
      <c r="F92" s="18">
        <f>IFERROR(__xludf.DUMMYFUNCTION("IFERROR(VLOOKUP($A92, GOOGLEFINANCE(F$1, ""price"", $A$2, TODAY()), 2, FALSE), """")"),102.26)</f>
        <v>102.26</v>
      </c>
      <c r="G92" s="18">
        <f>IFERROR(__xludf.DUMMYFUNCTION("IFERROR(VLOOKUP($A92, GOOGLEFINANCE(G$1, ""price"", $A$2, TODAY()), 2, FALSE), """")"),133.29)</f>
        <v>133.29</v>
      </c>
      <c r="H92" s="18">
        <f>IFERROR(__xludf.DUMMYFUNCTION("IFERROR(VLOOKUP($A92, GOOGLEFINANCE(H$1, ""price"", $A$2, TODAY()), 2, FALSE), """")"),82.22)</f>
        <v>82.22</v>
      </c>
      <c r="I92" s="18">
        <f>IFERROR(__xludf.DUMMYFUNCTION("IFERROR(VLOOKUP($A92, GOOGLEFINANCE(I$1, ""price"", $A$2, TODAY()), 2, FALSE), """")"),143.82)</f>
        <v>143.82</v>
      </c>
      <c r="J92" s="18">
        <f>IFERROR(__xludf.DUMMYFUNCTION("IFERROR(VLOOKUP($A92, GOOGLEFINANCE(J$1, ""price"", $A$2, TODAY()), 2, FALSE), """")"),40.98)</f>
        <v>40.98</v>
      </c>
      <c r="K92" s="18">
        <f>IFERROR(__xludf.DUMMYFUNCTION("IFERROR(VLOOKUP($A92, GOOGLEFINANCE(K$1, ""price"", $A$2, TODAY()), 2, FALSE), """")"),44.04)</f>
        <v>44.04</v>
      </c>
      <c r="L92" s="18">
        <f>IFERROR(__xludf.DUMMYFUNCTION("IFERROR(VLOOKUP($A92, GOOGLEFINANCE(L$1, ""price"", $A$2, TODAY()), 2, FALSE), """")"),40.48)</f>
        <v>40.48</v>
      </c>
      <c r="M92" s="196">
        <f>IFERROR(__xludf.DUMMYFUNCTION("IFERROR(VLOOKUP($A92, GOOGLEFINANCE(M$1, ""price"", $A$2, TODAY()), 2, FALSE), """")"),41.77)</f>
        <v>41.77</v>
      </c>
      <c r="O92" s="18">
        <v>0.19868105314382564</v>
      </c>
      <c r="P92" s="18">
        <v>0.18028963133253906</v>
      </c>
      <c r="Q92" s="18">
        <v>0.08522813082073398</v>
      </c>
      <c r="R92" s="18">
        <v>0.1715973352574967</v>
      </c>
      <c r="S92" s="18">
        <v>0.2236672092359841</v>
      </c>
      <c r="T92" s="18">
        <v>0.13796922457335595</v>
      </c>
      <c r="U92" s="18">
        <v>0.24133706979007602</v>
      </c>
      <c r="V92" s="18">
        <v>0.06876646586008424</v>
      </c>
      <c r="W92" s="18">
        <v>0.07390129713221352</v>
      </c>
      <c r="X92" s="18">
        <v>0.06792744114241606</v>
      </c>
      <c r="Y92" s="196">
        <v>0.07009212491399998</v>
      </c>
      <c r="AA92" s="18">
        <v>-0.005751534338262587</v>
      </c>
      <c r="AB92" s="18">
        <v>0.009863754639862998</v>
      </c>
      <c r="AC92" s="18">
        <v>0.004956642163854497</v>
      </c>
      <c r="AD92" s="18">
        <v>-0.01232988581117711</v>
      </c>
      <c r="AE92" s="18">
        <v>-0.009174858591886603</v>
      </c>
      <c r="AF92" s="18">
        <v>0.018276545034773273</v>
      </c>
      <c r="AG92" s="18">
        <v>0.006173462901831073</v>
      </c>
      <c r="AH92" s="18">
        <v>-0.04163610869941459</v>
      </c>
      <c r="AI92" s="18">
        <v>0.009570287220079798</v>
      </c>
      <c r="AJ92" s="18">
        <v>0.009610627914071301</v>
      </c>
      <c r="AK92" s="18">
        <v>0.0035857199591196043</v>
      </c>
    </row>
    <row r="93">
      <c r="A93" s="230">
        <f>IFERROR(__xludf.DUMMYFUNCTION("""COMPUTED_VALUE"""),45813.66666666667)</f>
        <v>45813.66667</v>
      </c>
      <c r="B93" s="18">
        <f>IFERROR(__xludf.DUMMYFUNCTION("""COMPUTED_VALUE"""),593.05)</f>
        <v>593.05</v>
      </c>
      <c r="C93" s="18">
        <f>IFERROR(__xludf.DUMMYFUNCTION("IFERROR(VLOOKUP($A93, GOOGLEFINANCE(C$1, ""price"", $A$2, TODAY()), 2, FALSE), """")"),118.07)</f>
        <v>118.07</v>
      </c>
      <c r="D93" s="18">
        <f>IFERROR(__xludf.DUMMYFUNCTION("IFERROR(VLOOKUP($A93, GOOGLEFINANCE(D$1, ""price"", $A$2, TODAY()), 2, FALSE), """")"),104.73)</f>
        <v>104.73</v>
      </c>
      <c r="E93" s="18">
        <f>IFERROR(__xludf.DUMMYFUNCTION("IFERROR(VLOOKUP($A93, GOOGLEFINANCE(E$1, ""price"", $A$2, TODAY()), 2, FALSE), """")"),50.65)</f>
        <v>50.65</v>
      </c>
      <c r="F93" s="18">
        <f>IFERROR(__xludf.DUMMYFUNCTION("IFERROR(VLOOKUP($A93, GOOGLEFINANCE(F$1, ""price"", $A$2, TODAY()), 2, FALSE), """")"),102.4)</f>
        <v>102.4</v>
      </c>
      <c r="G93" s="18">
        <f>IFERROR(__xludf.DUMMYFUNCTION("IFERROR(VLOOKUP($A93, GOOGLEFINANCE(G$1, ""price"", $A$2, TODAY()), 2, FALSE), """")"),133.11)</f>
        <v>133.11</v>
      </c>
      <c r="H93" s="18">
        <f>IFERROR(__xludf.DUMMYFUNCTION("IFERROR(VLOOKUP($A93, GOOGLEFINANCE(H$1, ""price"", $A$2, TODAY()), 2, FALSE), """")"),81.43)</f>
        <v>81.43</v>
      </c>
      <c r="I93" s="18">
        <f>IFERROR(__xludf.DUMMYFUNCTION("IFERROR(VLOOKUP($A93, GOOGLEFINANCE(I$1, ""price"", $A$2, TODAY()), 2, FALSE), """")"),143.72)</f>
        <v>143.72</v>
      </c>
      <c r="J93" s="18">
        <f>IFERROR(__xludf.DUMMYFUNCTION("IFERROR(VLOOKUP($A93, GOOGLEFINANCE(J$1, ""price"", $A$2, TODAY()), 2, FALSE), """")"),40.94)</f>
        <v>40.94</v>
      </c>
      <c r="K93" s="18">
        <f>IFERROR(__xludf.DUMMYFUNCTION("IFERROR(VLOOKUP($A93, GOOGLEFINANCE(K$1, ""price"", $A$2, TODAY()), 2, FALSE), """")"),43.78)</f>
        <v>43.78</v>
      </c>
      <c r="L93" s="18">
        <f>IFERROR(__xludf.DUMMYFUNCTION("IFERROR(VLOOKUP($A93, GOOGLEFINANCE(L$1, ""price"", $A$2, TODAY()), 2, FALSE), """")"),40.42)</f>
        <v>40.42</v>
      </c>
      <c r="M93" s="196">
        <f>IFERROR(__xludf.DUMMYFUNCTION("IFERROR(VLOOKUP($A93, GOOGLEFINANCE(M$1, ""price"", $A$2, TODAY()), 2, FALSE), """")"),41.76)</f>
        <v>41.76</v>
      </c>
      <c r="O93" s="18">
        <v>0.19908945282859794</v>
      </c>
      <c r="P93" s="18">
        <v>0.1765955652980356</v>
      </c>
      <c r="Q93" s="18">
        <v>0.08540595228058342</v>
      </c>
      <c r="R93" s="18">
        <v>0.17266672287328222</v>
      </c>
      <c r="S93" s="18">
        <v>0.2244498777506113</v>
      </c>
      <c r="T93" s="18">
        <v>0.13730714105050168</v>
      </c>
      <c r="U93" s="18">
        <v>0.24234044347019645</v>
      </c>
      <c r="V93" s="18">
        <v>0.06903296518000168</v>
      </c>
      <c r="W93" s="18">
        <v>0.07382176882219038</v>
      </c>
      <c r="X93" s="18">
        <v>0.06815614197791081</v>
      </c>
      <c r="Y93" s="196">
        <v>0.07041564792176039</v>
      </c>
      <c r="AA93" s="18">
        <v>-0.0089846059422376</v>
      </c>
      <c r="AB93" s="18">
        <v>-0.0022499293590771963</v>
      </c>
      <c r="AC93" s="18">
        <v>0.011055758615730271</v>
      </c>
      <c r="AD93" s="18">
        <v>0.0059590266789939506</v>
      </c>
      <c r="AE93" s="18">
        <v>-0.009490434237763634</v>
      </c>
      <c r="AF93" s="18">
        <v>0.011459082592000902</v>
      </c>
      <c r="AG93" s="18">
        <v>0.017051597004942964</v>
      </c>
      <c r="AH93" s="18">
        <v>-0.03744450975921432</v>
      </c>
      <c r="AI93" s="18">
        <v>0.00814053215103927</v>
      </c>
      <c r="AJ93" s="18">
        <v>0.0048661958281721596</v>
      </c>
      <c r="AK93" s="18">
        <v>0.006711992251073662</v>
      </c>
    </row>
    <row r="94">
      <c r="A94" s="230">
        <f>IFERROR(__xludf.DUMMYFUNCTION("""COMPUTED_VALUE"""),45814.66666666667)</f>
        <v>45814.66667</v>
      </c>
      <c r="B94" s="18">
        <f>IFERROR(__xludf.DUMMYFUNCTION("""COMPUTED_VALUE"""),599.14)</f>
        <v>599.14</v>
      </c>
      <c r="C94" s="18">
        <f>IFERROR(__xludf.DUMMYFUNCTION("IFERROR(VLOOKUP($A94, GOOGLEFINANCE(C$1, ""price"", $A$2, TODAY()), 2, FALSE), """")"),119.18)</f>
        <v>119.18</v>
      </c>
      <c r="D94" s="18">
        <f>IFERROR(__xludf.DUMMYFUNCTION("IFERROR(VLOOKUP($A94, GOOGLEFINANCE(D$1, ""price"", $A$2, TODAY()), 2, FALSE), """")"),106.09)</f>
        <v>106.09</v>
      </c>
      <c r="E94" s="18">
        <f>IFERROR(__xludf.DUMMYFUNCTION("IFERROR(VLOOKUP($A94, GOOGLEFINANCE(E$1, ""price"", $A$2, TODAY()), 2, FALSE), """")"),51.28)</f>
        <v>51.28</v>
      </c>
      <c r="F94" s="18">
        <f>IFERROR(__xludf.DUMMYFUNCTION("IFERROR(VLOOKUP($A94, GOOGLEFINANCE(F$1, ""price"", $A$2, TODAY()), 2, FALSE), """")"),103.71)</f>
        <v>103.71</v>
      </c>
      <c r="G94" s="18">
        <f>IFERROR(__xludf.DUMMYFUNCTION("IFERROR(VLOOKUP($A94, GOOGLEFINANCE(G$1, ""price"", $A$2, TODAY()), 2, FALSE), """")"),134.38)</f>
        <v>134.38</v>
      </c>
      <c r="H94" s="18">
        <f>IFERROR(__xludf.DUMMYFUNCTION("IFERROR(VLOOKUP($A94, GOOGLEFINANCE(H$1, ""price"", $A$2, TODAY()), 2, FALSE), """")"),81.69)</f>
        <v>81.69</v>
      </c>
      <c r="I94" s="18">
        <f>IFERROR(__xludf.DUMMYFUNCTION("IFERROR(VLOOKUP($A94, GOOGLEFINANCE(I$1, ""price"", $A$2, TODAY()), 2, FALSE), """")"),144.93)</f>
        <v>144.93</v>
      </c>
      <c r="J94" s="18">
        <f>IFERROR(__xludf.DUMMYFUNCTION("IFERROR(VLOOKUP($A94, GOOGLEFINANCE(J$1, ""price"", $A$2, TODAY()), 2, FALSE), """")"),41.71)</f>
        <v>41.71</v>
      </c>
      <c r="K94" s="18">
        <f>IFERROR(__xludf.DUMMYFUNCTION("IFERROR(VLOOKUP($A94, GOOGLEFINANCE(K$1, ""price"", $A$2, TODAY()), 2, FALSE), """")"),43.89)</f>
        <v>43.89</v>
      </c>
      <c r="L94" s="18">
        <f>IFERROR(__xludf.DUMMYFUNCTION("IFERROR(VLOOKUP($A94, GOOGLEFINANCE(L$1, ""price"", $A$2, TODAY()), 2, FALSE), """")"),40.6)</f>
        <v>40.6</v>
      </c>
      <c r="M94" s="196">
        <f>IFERROR(__xludf.DUMMYFUNCTION("IFERROR(VLOOKUP($A94, GOOGLEFINANCE(M$1, ""price"", $A$2, TODAY()), 2, FALSE), """")"),41.88)</f>
        <v>41.88</v>
      </c>
      <c r="O94" s="18">
        <v>0.19891844977801518</v>
      </c>
      <c r="P94" s="18">
        <v>0.17707046767032747</v>
      </c>
      <c r="Q94" s="18">
        <v>0.08558934472744267</v>
      </c>
      <c r="R94" s="18">
        <v>0.17309810728711153</v>
      </c>
      <c r="S94" s="18">
        <v>0.22428814634309177</v>
      </c>
      <c r="T94" s="18">
        <v>0.13634542844744132</v>
      </c>
      <c r="U94" s="18">
        <v>0.2418967186300364</v>
      </c>
      <c r="V94" s="18">
        <v>0.06961645024535168</v>
      </c>
      <c r="W94" s="18">
        <v>0.07325499883165872</v>
      </c>
      <c r="X94" s="18">
        <v>0.06776379477250727</v>
      </c>
      <c r="Y94" s="196">
        <v>0.06990019027272425</v>
      </c>
      <c r="AA94" s="18">
        <v>-0.006987921084747439</v>
      </c>
      <c r="AB94" s="18">
        <v>-0.0015011882574337276</v>
      </c>
      <c r="AC94" s="18">
        <v>0.022754980029689342</v>
      </c>
      <c r="AD94" s="18">
        <v>0.007404660269112684</v>
      </c>
      <c r="AE94" s="18">
        <v>-0.016381228481408994</v>
      </c>
      <c r="AF94" s="18">
        <v>0.0054128061156433205</v>
      </c>
      <c r="AG94" s="18">
        <v>0.012354300891214365</v>
      </c>
      <c r="AH94" s="18">
        <v>-0.0565035006475606</v>
      </c>
      <c r="AI94" s="18">
        <v>9.89569752809727E-4</v>
      </c>
      <c r="AJ94" s="18">
        <v>-0.006264173933017925</v>
      </c>
      <c r="AK94" s="18">
        <v>-0.003809654026823206</v>
      </c>
    </row>
    <row r="95">
      <c r="A95" s="230">
        <f>IFERROR(__xludf.DUMMYFUNCTION("""COMPUTED_VALUE"""),45817.66666666667)</f>
        <v>45817.66667</v>
      </c>
      <c r="B95" s="18">
        <f>IFERROR(__xludf.DUMMYFUNCTION("""COMPUTED_VALUE"""),599.68)</f>
        <v>599.68</v>
      </c>
      <c r="C95" s="18">
        <f>IFERROR(__xludf.DUMMYFUNCTION("IFERROR(VLOOKUP($A95, GOOGLEFINANCE(C$1, ""price"", $A$2, TODAY()), 2, FALSE), """")"),119.77)</f>
        <v>119.77</v>
      </c>
      <c r="D95" s="18">
        <f>IFERROR(__xludf.DUMMYFUNCTION("IFERROR(VLOOKUP($A95, GOOGLEFINANCE(D$1, ""price"", $A$2, TODAY()), 2, FALSE), """")"),106.94)</f>
        <v>106.94</v>
      </c>
      <c r="E95" s="18">
        <f>IFERROR(__xludf.DUMMYFUNCTION("IFERROR(VLOOKUP($A95, GOOGLEFINANCE(E$1, ""price"", $A$2, TODAY()), 2, FALSE), """")"),51.0)</f>
        <v>51</v>
      </c>
      <c r="F95" s="18">
        <f>IFERROR(__xludf.DUMMYFUNCTION("IFERROR(VLOOKUP($A95, GOOGLEFINANCE(F$1, ""price"", $A$2, TODAY()), 2, FALSE), """")"),103.41)</f>
        <v>103.41</v>
      </c>
      <c r="G95" s="18">
        <f>IFERROR(__xludf.DUMMYFUNCTION("IFERROR(VLOOKUP($A95, GOOGLEFINANCE(G$1, ""price"", $A$2, TODAY()), 2, FALSE), """")"),134.15)</f>
        <v>134.15</v>
      </c>
      <c r="H95" s="18">
        <f>IFERROR(__xludf.DUMMYFUNCTION("IFERROR(VLOOKUP($A95, GOOGLEFINANCE(H$1, ""price"", $A$2, TODAY()), 2, FALSE), """")"),81.58)</f>
        <v>81.58</v>
      </c>
      <c r="I95" s="18">
        <f>IFERROR(__xludf.DUMMYFUNCTION("IFERROR(VLOOKUP($A95, GOOGLEFINANCE(I$1, ""price"", $A$2, TODAY()), 2, FALSE), """")"),144.8)</f>
        <v>144.8</v>
      </c>
      <c r="J95" s="18">
        <f>IFERROR(__xludf.DUMMYFUNCTION("IFERROR(VLOOKUP($A95, GOOGLEFINANCE(J$1, ""price"", $A$2, TODAY()), 2, FALSE), """")"),41.79)</f>
        <v>41.79</v>
      </c>
      <c r="K95" s="18">
        <f>IFERROR(__xludf.DUMMYFUNCTION("IFERROR(VLOOKUP($A95, GOOGLEFINANCE(K$1, ""price"", $A$2, TODAY()), 2, FALSE), """")"),44.19)</f>
        <v>44.19</v>
      </c>
      <c r="L95" s="18">
        <f>IFERROR(__xludf.DUMMYFUNCTION("IFERROR(VLOOKUP($A95, GOOGLEFINANCE(L$1, ""price"", $A$2, TODAY()), 2, FALSE), """")"),40.34)</f>
        <v>40.34</v>
      </c>
      <c r="M95" s="196">
        <f>IFERROR(__xludf.DUMMYFUNCTION("IFERROR(VLOOKUP($A95, GOOGLEFINANCE(M$1, ""price"", $A$2, TODAY()), 2, FALSE), """")"),41.86)</f>
        <v>41.86</v>
      </c>
      <c r="O95" s="18">
        <v>0.1997231856990395</v>
      </c>
      <c r="P95" s="18">
        <v>0.1783284418356457</v>
      </c>
      <c r="Q95" s="18">
        <v>0.08504535752401281</v>
      </c>
      <c r="R95" s="18">
        <v>0.1724419690501601</v>
      </c>
      <c r="S95" s="18">
        <v>0.22370264140875137</v>
      </c>
      <c r="T95" s="18">
        <v>0.13603922091782283</v>
      </c>
      <c r="U95" s="18">
        <v>0.2414621131270011</v>
      </c>
      <c r="V95" s="18">
        <v>0.06968716648879403</v>
      </c>
      <c r="W95" s="18">
        <v>0.07368930096051228</v>
      </c>
      <c r="X95" s="18">
        <v>0.06726921024546426</v>
      </c>
      <c r="Y95" s="196">
        <v>0.06980389541088582</v>
      </c>
      <c r="AA95" s="18">
        <v>-0.009470296600583294</v>
      </c>
      <c r="AB95" s="18">
        <v>0.004345251149490137</v>
      </c>
      <c r="AC95" s="18">
        <v>0.014350605038037534</v>
      </c>
      <c r="AD95" s="18">
        <v>-0.003955090021559582</v>
      </c>
      <c r="AE95" s="18">
        <v>-0.006549937924793525</v>
      </c>
      <c r="AF95" s="18">
        <v>0.00945724775613721</v>
      </c>
      <c r="AG95" s="18">
        <v>0.013189349992209332</v>
      </c>
      <c r="AH95" s="18">
        <v>-0.04373721540377096</v>
      </c>
      <c r="AI95" s="18">
        <v>0.007967950587415729</v>
      </c>
      <c r="AJ95" s="18">
        <v>7.851797268920713E-4</v>
      </c>
      <c r="AK95" s="18">
        <v>0.0033248673081960334</v>
      </c>
    </row>
    <row r="96">
      <c r="A96" s="230">
        <f>IFERROR(__xludf.DUMMYFUNCTION("""COMPUTED_VALUE"""),45818.66666666667)</f>
        <v>45818.66667</v>
      </c>
      <c r="B96" s="18">
        <f>IFERROR(__xludf.DUMMYFUNCTION("""COMPUTED_VALUE"""),603.08)</f>
        <v>603.08</v>
      </c>
      <c r="C96" s="18">
        <f>IFERROR(__xludf.DUMMYFUNCTION("IFERROR(VLOOKUP($A96, GOOGLEFINANCE(C$1, ""price"", $A$2, TODAY()), 2, FALSE), """")"),120.44)</f>
        <v>120.44</v>
      </c>
      <c r="D96" s="18">
        <f>IFERROR(__xludf.DUMMYFUNCTION("IFERROR(VLOOKUP($A96, GOOGLEFINANCE(D$1, ""price"", $A$2, TODAY()), 2, FALSE), """")"),108.22)</f>
        <v>108.22</v>
      </c>
      <c r="E96" s="18">
        <f>IFERROR(__xludf.DUMMYFUNCTION("IFERROR(VLOOKUP($A96, GOOGLEFINANCE(E$1, ""price"", $A$2, TODAY()), 2, FALSE), """")"),51.06)</f>
        <v>51.06</v>
      </c>
      <c r="F96" s="18">
        <f>IFERROR(__xludf.DUMMYFUNCTION("IFERROR(VLOOKUP($A96, GOOGLEFINANCE(F$1, ""price"", $A$2, TODAY()), 2, FALSE), """")"),104.72)</f>
        <v>104.72</v>
      </c>
      <c r="G96" s="18">
        <f>IFERROR(__xludf.DUMMYFUNCTION("IFERROR(VLOOKUP($A96, GOOGLEFINANCE(G$1, ""price"", $A$2, TODAY()), 2, FALSE), """")"),135.68)</f>
        <v>135.68</v>
      </c>
      <c r="H96" s="18">
        <f>IFERROR(__xludf.DUMMYFUNCTION("IFERROR(VLOOKUP($A96, GOOGLEFINANCE(H$1, ""price"", $A$2, TODAY()), 2, FALSE), """")"),81.76)</f>
        <v>81.76</v>
      </c>
      <c r="I96" s="18">
        <f>IFERROR(__xludf.DUMMYFUNCTION("IFERROR(VLOOKUP($A96, GOOGLEFINANCE(I$1, ""price"", $A$2, TODAY()), 2, FALSE), """")"),144.17)</f>
        <v>144.17</v>
      </c>
      <c r="J96" s="18">
        <f>IFERROR(__xludf.DUMMYFUNCTION("IFERROR(VLOOKUP($A96, GOOGLEFINANCE(J$1, ""price"", $A$2, TODAY()), 2, FALSE), """")"),42.53)</f>
        <v>42.53</v>
      </c>
      <c r="K96" s="18">
        <f>IFERROR(__xludf.DUMMYFUNCTION("IFERROR(VLOOKUP($A96, GOOGLEFINANCE(K$1, ""price"", $A$2, TODAY()), 2, FALSE), """")"),44.46)</f>
        <v>44.46</v>
      </c>
      <c r="L96" s="18">
        <f>IFERROR(__xludf.DUMMYFUNCTION("IFERROR(VLOOKUP($A96, GOOGLEFINANCE(L$1, ""price"", $A$2, TODAY()), 2, FALSE), """")"),40.43)</f>
        <v>40.43</v>
      </c>
      <c r="M96" s="196">
        <f>IFERROR(__xludf.DUMMYFUNCTION("IFERROR(VLOOKUP($A96, GOOGLEFINANCE(M$1, ""price"", $A$2, TODAY()), 2, FALSE), """")"),42.23)</f>
        <v>42.23</v>
      </c>
      <c r="O96" s="18">
        <v>0.19970816475426145</v>
      </c>
      <c r="P96" s="18">
        <v>0.17944551303309675</v>
      </c>
      <c r="Q96" s="18">
        <v>0.08466538436028387</v>
      </c>
      <c r="R96" s="18">
        <v>0.17364197121443256</v>
      </c>
      <c r="S96" s="18">
        <v>0.22497844398753067</v>
      </c>
      <c r="T96" s="18">
        <v>0.13557073688399549</v>
      </c>
      <c r="U96" s="18">
        <v>0.23905617828480463</v>
      </c>
      <c r="V96" s="18">
        <v>0.07052132387079657</v>
      </c>
      <c r="W96" s="18">
        <v>0.07372156264508854</v>
      </c>
      <c r="X96" s="18">
        <v>0.06703919877959806</v>
      </c>
      <c r="Y96" s="196">
        <v>0.07002387742919677</v>
      </c>
      <c r="AA96" s="18">
        <v>-0.011009284886343118</v>
      </c>
      <c r="AB96" s="18">
        <v>0.019531020278276134</v>
      </c>
      <c r="AC96" s="18">
        <v>0.0069686926114733705</v>
      </c>
      <c r="AD96" s="18">
        <v>0.003251663699090024</v>
      </c>
      <c r="AE96" s="18">
        <v>0.007202889307478699</v>
      </c>
      <c r="AF96" s="18">
        <v>0.005930490628260454</v>
      </c>
      <c r="AG96" s="18">
        <v>0.0020570902176029193</v>
      </c>
      <c r="AH96" s="18">
        <v>-0.04943364194637778</v>
      </c>
      <c r="AI96" s="18">
        <v>0.009645778760480228</v>
      </c>
      <c r="AJ96" s="18">
        <v>-0.002789832044480245</v>
      </c>
      <c r="AK96" s="18">
        <v>0.0019484549872594847</v>
      </c>
    </row>
    <row r="97">
      <c r="A97" s="230">
        <f>IFERROR(__xludf.DUMMYFUNCTION("""COMPUTED_VALUE"""),45819.66666666667)</f>
        <v>45819.66667</v>
      </c>
      <c r="B97" s="18">
        <f>IFERROR(__xludf.DUMMYFUNCTION("""COMPUTED_VALUE"""),601.36)</f>
        <v>601.36</v>
      </c>
      <c r="C97" s="18">
        <f>IFERROR(__xludf.DUMMYFUNCTION("IFERROR(VLOOKUP($A97, GOOGLEFINANCE(C$1, ""price"", $A$2, TODAY()), 2, FALSE), """")"),120.17)</f>
        <v>120.17</v>
      </c>
      <c r="D97" s="18">
        <f>IFERROR(__xludf.DUMMYFUNCTION("IFERROR(VLOOKUP($A97, GOOGLEFINANCE(D$1, ""price"", $A$2, TODAY()), 2, FALSE), """")"),107.36)</f>
        <v>107.36</v>
      </c>
      <c r="E97" s="18">
        <f>IFERROR(__xludf.DUMMYFUNCTION("IFERROR(VLOOKUP($A97, GOOGLEFINANCE(E$1, ""price"", $A$2, TODAY()), 2, FALSE), """")"),51.0)</f>
        <v>51</v>
      </c>
      <c r="F97" s="18">
        <f>IFERROR(__xludf.DUMMYFUNCTION("IFERROR(VLOOKUP($A97, GOOGLEFINANCE(F$1, ""price"", $A$2, TODAY()), 2, FALSE), """")"),104.48)</f>
        <v>104.48</v>
      </c>
      <c r="G97" s="18">
        <f>IFERROR(__xludf.DUMMYFUNCTION("IFERROR(VLOOKUP($A97, GOOGLEFINANCE(G$1, ""price"", $A$2, TODAY()), 2, FALSE), """")"),135.75)</f>
        <v>135.75</v>
      </c>
      <c r="H97" s="18">
        <f>IFERROR(__xludf.DUMMYFUNCTION("IFERROR(VLOOKUP($A97, GOOGLEFINANCE(H$1, ""price"", $A$2, TODAY()), 2, FALSE), """")"),81.48)</f>
        <v>81.48</v>
      </c>
      <c r="I97" s="18">
        <f>IFERROR(__xludf.DUMMYFUNCTION("IFERROR(VLOOKUP($A97, GOOGLEFINANCE(I$1, ""price"", $A$2, TODAY()), 2, FALSE), """")"),144.24)</f>
        <v>144.24</v>
      </c>
      <c r="J97" s="18">
        <f>IFERROR(__xludf.DUMMYFUNCTION("IFERROR(VLOOKUP($A97, GOOGLEFINANCE(J$1, ""price"", $A$2, TODAY()), 2, FALSE), """")"),43.15)</f>
        <v>43.15</v>
      </c>
      <c r="K97" s="18">
        <f>IFERROR(__xludf.DUMMYFUNCTION("IFERROR(VLOOKUP($A97, GOOGLEFINANCE(K$1, ""price"", $A$2, TODAY()), 2, FALSE), """")"),44.02)</f>
        <v>44.02</v>
      </c>
      <c r="L97" s="18">
        <f>IFERROR(__xludf.DUMMYFUNCTION("IFERROR(VLOOKUP($A97, GOOGLEFINANCE(L$1, ""price"", $A$2, TODAY()), 2, FALSE), """")"),40.46)</f>
        <v>40.46</v>
      </c>
      <c r="M97" s="196">
        <f>IFERROR(__xludf.DUMMYFUNCTION("IFERROR(VLOOKUP($A97, GOOGLEFINANCE(M$1, ""price"", $A$2, TODAY()), 2, FALSE), """")"),42.0)</f>
        <v>42</v>
      </c>
      <c r="O97" s="18">
        <v>0.1998303844618864</v>
      </c>
      <c r="P97" s="18">
        <v>0.17852866835173606</v>
      </c>
      <c r="Q97" s="18">
        <v>0.08480776905680458</v>
      </c>
      <c r="R97" s="18">
        <v>0.17373952374617535</v>
      </c>
      <c r="S97" s="18">
        <v>0.22573832646002395</v>
      </c>
      <c r="T97" s="18">
        <v>0.13549288279898897</v>
      </c>
      <c r="U97" s="18">
        <v>0.23985632566183318</v>
      </c>
      <c r="V97" s="18">
        <v>0.07175402421178662</v>
      </c>
      <c r="W97" s="18">
        <v>0.07320074497804976</v>
      </c>
      <c r="X97" s="18">
        <v>0.06728083011839829</v>
      </c>
      <c r="Y97" s="196">
        <v>0.0698416921644273</v>
      </c>
      <c r="AA97" s="18">
        <v>-0.011781600091801847</v>
      </c>
      <c r="AB97" s="18">
        <v>0.013687204144280596</v>
      </c>
      <c r="AC97" s="18">
        <v>0.008911858727545408</v>
      </c>
      <c r="AD97" s="18">
        <v>0.00317909603667732</v>
      </c>
      <c r="AE97" s="18">
        <v>0.012196830983763896</v>
      </c>
      <c r="AF97" s="18">
        <v>0.006451173684296485</v>
      </c>
      <c r="AG97" s="18">
        <v>0.007663056067826579</v>
      </c>
      <c r="AH97" s="18">
        <v>-0.02659572604246596</v>
      </c>
      <c r="AI97" s="18">
        <v>0.005126478503471921</v>
      </c>
      <c r="AJ97" s="18">
        <v>-0.002078968571601947</v>
      </c>
      <c r="AK97" s="18">
        <v>-0.002719393720950203</v>
      </c>
    </row>
    <row r="98">
      <c r="A98" s="230">
        <f>IFERROR(__xludf.DUMMYFUNCTION("""COMPUTED_VALUE"""),45820.66666666667)</f>
        <v>45820.66667</v>
      </c>
      <c r="B98" s="18">
        <f>IFERROR(__xludf.DUMMYFUNCTION("""COMPUTED_VALUE"""),603.75)</f>
        <v>603.75</v>
      </c>
      <c r="C98" s="18">
        <f>IFERROR(__xludf.DUMMYFUNCTION("IFERROR(VLOOKUP($A98, GOOGLEFINANCE(C$1, ""price"", $A$2, TODAY()), 2, FALSE), """")"),121.29)</f>
        <v>121.29</v>
      </c>
      <c r="D98" s="18">
        <f>IFERROR(__xludf.DUMMYFUNCTION("IFERROR(VLOOKUP($A98, GOOGLEFINANCE(D$1, ""price"", $A$2, TODAY()), 2, FALSE), """")"),106.86)</f>
        <v>106.86</v>
      </c>
      <c r="E98" s="18">
        <f>IFERROR(__xludf.DUMMYFUNCTION("IFERROR(VLOOKUP($A98, GOOGLEFINANCE(E$1, ""price"", $A$2, TODAY()), 2, FALSE), """")"),51.0)</f>
        <v>51</v>
      </c>
      <c r="F98" s="18">
        <f>IFERROR(__xludf.DUMMYFUNCTION("IFERROR(VLOOKUP($A98, GOOGLEFINANCE(F$1, ""price"", $A$2, TODAY()), 2, FALSE), """")"),103.63)</f>
        <v>103.63</v>
      </c>
      <c r="G98" s="18">
        <f>IFERROR(__xludf.DUMMYFUNCTION("IFERROR(VLOOKUP($A98, GOOGLEFINANCE(G$1, ""price"", $A$2, TODAY()), 2, FALSE), """")"),136.81)</f>
        <v>136.81</v>
      </c>
      <c r="H98" s="18">
        <f>IFERROR(__xludf.DUMMYFUNCTION("IFERROR(VLOOKUP($A98, GOOGLEFINANCE(H$1, ""price"", $A$2, TODAY()), 2, FALSE), """")"),81.96)</f>
        <v>81.96</v>
      </c>
      <c r="I98" s="18">
        <f>IFERROR(__xludf.DUMMYFUNCTION("IFERROR(VLOOKUP($A98, GOOGLEFINANCE(I$1, ""price"", $A$2, TODAY()), 2, FALSE), """")"),143.86)</f>
        <v>143.86</v>
      </c>
      <c r="J98" s="18">
        <f>IFERROR(__xludf.DUMMYFUNCTION("IFERROR(VLOOKUP($A98, GOOGLEFINANCE(J$1, ""price"", $A$2, TODAY()), 2, FALSE), """")"),43.3)</f>
        <v>43.3</v>
      </c>
      <c r="K98" s="18">
        <f>IFERROR(__xludf.DUMMYFUNCTION("IFERROR(VLOOKUP($A98, GOOGLEFINANCE(K$1, ""price"", $A$2, TODAY()), 2, FALSE), """")"),44.21)</f>
        <v>44.21</v>
      </c>
      <c r="L98" s="18">
        <f>IFERROR(__xludf.DUMMYFUNCTION("IFERROR(VLOOKUP($A98, GOOGLEFINANCE(L$1, ""price"", $A$2, TODAY()), 2, FALSE), """")"),40.95)</f>
        <v>40.95</v>
      </c>
      <c r="M98" s="196">
        <f>IFERROR(__xludf.DUMMYFUNCTION("IFERROR(VLOOKUP($A98, GOOGLEFINANCE(M$1, ""price"", $A$2, TODAY()), 2, FALSE), """")"),42.23)</f>
        <v>42.23</v>
      </c>
      <c r="O98" s="18">
        <v>0.2008944099378882</v>
      </c>
      <c r="P98" s="18">
        <v>0.17699378881987576</v>
      </c>
      <c r="Q98" s="18">
        <v>0.084472049689441</v>
      </c>
      <c r="R98" s="18">
        <v>0.1716438923395445</v>
      </c>
      <c r="S98" s="18">
        <v>0.22660041407867496</v>
      </c>
      <c r="T98" s="18">
        <v>0.13575155279503104</v>
      </c>
      <c r="U98" s="18">
        <v>0.23827743271221535</v>
      </c>
      <c r="V98" s="18">
        <v>0.07171842650103519</v>
      </c>
      <c r="W98" s="18">
        <v>0.07322567287784679</v>
      </c>
      <c r="X98" s="18">
        <v>0.06782608695652174</v>
      </c>
      <c r="Y98" s="196">
        <v>0.06994616977225672</v>
      </c>
      <c r="AA98" s="18">
        <v>-0.007337408016228508</v>
      </c>
      <c r="AB98" s="18">
        <v>-0.0014821642312914385</v>
      </c>
      <c r="AC98" s="18">
        <v>-0.003176138017454422</v>
      </c>
      <c r="AD98" s="18">
        <v>-0.008123956247136355</v>
      </c>
      <c r="AE98" s="18">
        <v>0.01556632035199823</v>
      </c>
      <c r="AF98" s="18">
        <v>-0.0042652086518014665</v>
      </c>
      <c r="AG98" s="18">
        <v>-0.005383769669064176</v>
      </c>
      <c r="AH98" s="18">
        <v>-0.042013340053153825</v>
      </c>
      <c r="AI98" s="18">
        <v>0.0070944891887709804</v>
      </c>
      <c r="AJ98" s="18">
        <v>-0.002037956015802478</v>
      </c>
      <c r="AK98" s="18">
        <v>-0.006272776183200546</v>
      </c>
    </row>
    <row r="99">
      <c r="A99" s="230">
        <f>IFERROR(__xludf.DUMMYFUNCTION("""COMPUTED_VALUE"""),45821.66666666667)</f>
        <v>45821.66667</v>
      </c>
      <c r="B99" s="18">
        <f>IFERROR(__xludf.DUMMYFUNCTION("""COMPUTED_VALUE"""),597.0)</f>
        <v>597</v>
      </c>
      <c r="C99" s="18">
        <f>IFERROR(__xludf.DUMMYFUNCTION("IFERROR(VLOOKUP($A99, GOOGLEFINANCE(C$1, ""price"", $A$2, TODAY()), 2, FALSE), """")"),119.59)</f>
        <v>119.59</v>
      </c>
      <c r="D99" s="18">
        <f>IFERROR(__xludf.DUMMYFUNCTION("IFERROR(VLOOKUP($A99, GOOGLEFINANCE(D$1, ""price"", $A$2, TODAY()), 2, FALSE), """")"),105.87)</f>
        <v>105.87</v>
      </c>
      <c r="E99" s="18">
        <f>IFERROR(__xludf.DUMMYFUNCTION("IFERROR(VLOOKUP($A99, GOOGLEFINANCE(E$1, ""price"", $A$2, TODAY()), 2, FALSE), """")"),49.96)</f>
        <v>49.96</v>
      </c>
      <c r="F99" s="18">
        <f>IFERROR(__xludf.DUMMYFUNCTION("IFERROR(VLOOKUP($A99, GOOGLEFINANCE(F$1, ""price"", $A$2, TODAY()), 2, FALSE), """")"),102.58)</f>
        <v>102.58</v>
      </c>
      <c r="G99" s="18">
        <f>IFERROR(__xludf.DUMMYFUNCTION("IFERROR(VLOOKUP($A99, GOOGLEFINANCE(G$1, ""price"", $A$2, TODAY()), 2, FALSE), """")"),136.13)</f>
        <v>136.13</v>
      </c>
      <c r="H99" s="18">
        <f>IFERROR(__xludf.DUMMYFUNCTION("IFERROR(VLOOKUP($A99, GOOGLEFINANCE(H$1, ""price"", $A$2, TODAY()), 2, FALSE), """")"),80.96)</f>
        <v>80.96</v>
      </c>
      <c r="I99" s="18">
        <f>IFERROR(__xludf.DUMMYFUNCTION("IFERROR(VLOOKUP($A99, GOOGLEFINANCE(I$1, ""price"", $A$2, TODAY()), 2, FALSE), """")"),142.65)</f>
        <v>142.65</v>
      </c>
      <c r="J99" s="18">
        <f>IFERROR(__xludf.DUMMYFUNCTION("IFERROR(VLOOKUP($A99, GOOGLEFINANCE(J$1, ""price"", $A$2, TODAY()), 2, FALSE), """")"),44.05)</f>
        <v>44.05</v>
      </c>
      <c r="K99" s="18">
        <f>IFERROR(__xludf.DUMMYFUNCTION("IFERROR(VLOOKUP($A99, GOOGLEFINANCE(K$1, ""price"", $A$2, TODAY()), 2, FALSE), """")"),43.69)</f>
        <v>43.69</v>
      </c>
      <c r="L99" s="18">
        <f>IFERROR(__xludf.DUMMYFUNCTION("IFERROR(VLOOKUP($A99, GOOGLEFINANCE(L$1, ""price"", $A$2, TODAY()), 2, FALSE), """")"),40.71)</f>
        <v>40.71</v>
      </c>
      <c r="M99" s="196">
        <f>IFERROR(__xludf.DUMMYFUNCTION("IFERROR(VLOOKUP($A99, GOOGLEFINANCE(M$1, ""price"", $A$2, TODAY()), 2, FALSE), """")"),41.89)</f>
        <v>41.89</v>
      </c>
      <c r="O99" s="18">
        <v>0.20031825795644892</v>
      </c>
      <c r="P99" s="18">
        <v>0.17733668341708544</v>
      </c>
      <c r="Q99" s="18">
        <v>0.08368509212730318</v>
      </c>
      <c r="R99" s="18">
        <v>0.17182579564489112</v>
      </c>
      <c r="S99" s="18">
        <v>0.22802345058626464</v>
      </c>
      <c r="T99" s="18">
        <v>0.1356113902847571</v>
      </c>
      <c r="U99" s="18">
        <v>0.23894472361809047</v>
      </c>
      <c r="V99" s="18">
        <v>0.07378559463986599</v>
      </c>
      <c r="W99" s="18">
        <v>0.0731825795644891</v>
      </c>
      <c r="X99" s="18">
        <v>0.06819095477386934</v>
      </c>
      <c r="Y99" s="196">
        <v>0.07016750418760469</v>
      </c>
      <c r="AA99" s="18">
        <v>-0.01003785809813218</v>
      </c>
      <c r="AB99" s="18">
        <v>-0.0071957970824270134</v>
      </c>
      <c r="AC99" s="18">
        <v>-0.011735378980696543</v>
      </c>
      <c r="AD99" s="18">
        <v>-0.007399641387223044</v>
      </c>
      <c r="AE99" s="18">
        <v>0.035474227219633114</v>
      </c>
      <c r="AF99" s="18">
        <v>-1.5754447915272696E-4</v>
      </c>
      <c r="AG99" s="18">
        <v>-0.003178952596990303</v>
      </c>
      <c r="AH99" s="18">
        <v>0.02934506329882769</v>
      </c>
      <c r="AI99" s="18">
        <v>0.010364047058388337</v>
      </c>
      <c r="AJ99" s="18">
        <v>0.0075037298753737325</v>
      </c>
      <c r="AK99" s="18">
        <v>0.0012132106084390415</v>
      </c>
    </row>
    <row r="100">
      <c r="A100" s="230">
        <f>IFERROR(__xludf.DUMMYFUNCTION("""COMPUTED_VALUE"""),45824.66666666667)</f>
        <v>45824.66667</v>
      </c>
      <c r="B100" s="18">
        <f>IFERROR(__xludf.DUMMYFUNCTION("""COMPUTED_VALUE"""),602.68)</f>
        <v>602.68</v>
      </c>
      <c r="C100" s="18">
        <f>IFERROR(__xludf.DUMMYFUNCTION("IFERROR(VLOOKUP($A100, GOOGLEFINANCE(C$1, ""price"", $A$2, TODAY()), 2, FALSE), """")"),121.52)</f>
        <v>121.52</v>
      </c>
      <c r="D100" s="18">
        <f>IFERROR(__xludf.DUMMYFUNCTION("IFERROR(VLOOKUP($A100, GOOGLEFINANCE(D$1, ""price"", $A$2, TODAY()), 2, FALSE), """")"),107.01)</f>
        <v>107.01</v>
      </c>
      <c r="E100" s="18">
        <f>IFERROR(__xludf.DUMMYFUNCTION("IFERROR(VLOOKUP($A100, GOOGLEFINANCE(E$1, ""price"", $A$2, TODAY()), 2, FALSE), """")"),50.53)</f>
        <v>50.53</v>
      </c>
      <c r="F100" s="18">
        <f>IFERROR(__xludf.DUMMYFUNCTION("IFERROR(VLOOKUP($A100, GOOGLEFINANCE(F$1, ""price"", $A$2, TODAY()), 2, FALSE), """")"),104.34)</f>
        <v>104.34</v>
      </c>
      <c r="G100" s="18">
        <f>IFERROR(__xludf.DUMMYFUNCTION("IFERROR(VLOOKUP($A100, GOOGLEFINANCE(G$1, ""price"", $A$2, TODAY()), 2, FALSE), """")"),135.71)</f>
        <v>135.71</v>
      </c>
      <c r="H100" s="18">
        <f>IFERROR(__xludf.DUMMYFUNCTION("IFERROR(VLOOKUP($A100, GOOGLEFINANCE(H$1, ""price"", $A$2, TODAY()), 2, FALSE), """")"),81.22)</f>
        <v>81.22</v>
      </c>
      <c r="I100" s="18">
        <f>IFERROR(__xludf.DUMMYFUNCTION("IFERROR(VLOOKUP($A100, GOOGLEFINANCE(I$1, ""price"", $A$2, TODAY()), 2, FALSE), """")"),143.63)</f>
        <v>143.63</v>
      </c>
      <c r="J100" s="18">
        <f>IFERROR(__xludf.DUMMYFUNCTION("IFERROR(VLOOKUP($A100, GOOGLEFINANCE(J$1, ""price"", $A$2, TODAY()), 2, FALSE), """")"),43.92)</f>
        <v>43.92</v>
      </c>
      <c r="K100" s="18">
        <f>IFERROR(__xludf.DUMMYFUNCTION("IFERROR(VLOOKUP($A100, GOOGLEFINANCE(K$1, ""price"", $A$2, TODAY()), 2, FALSE), """")"),44.06)</f>
        <v>44.06</v>
      </c>
      <c r="L100" s="18">
        <f>IFERROR(__xludf.DUMMYFUNCTION("IFERROR(VLOOKUP($A100, GOOGLEFINANCE(L$1, ""price"", $A$2, TODAY()), 2, FALSE), """")"),40.51)</f>
        <v>40.51</v>
      </c>
      <c r="M100" s="196">
        <f>IFERROR(__xludf.DUMMYFUNCTION("IFERROR(VLOOKUP($A100, GOOGLEFINANCE(M$1, ""price"", $A$2, TODAY()), 2, FALSE), """")"),41.93)</f>
        <v>41.93</v>
      </c>
      <c r="O100" s="18">
        <v>0.20163270724099025</v>
      </c>
      <c r="P100" s="18">
        <v>0.177556912457689</v>
      </c>
      <c r="Q100" s="18">
        <v>0.08384217163337095</v>
      </c>
      <c r="R100" s="18">
        <v>0.17312670073670938</v>
      </c>
      <c r="S100" s="18">
        <v>0.22517754031990445</v>
      </c>
      <c r="T100" s="18">
        <v>0.13476471759474348</v>
      </c>
      <c r="U100" s="18">
        <v>0.23831884250348445</v>
      </c>
      <c r="V100" s="18">
        <v>0.07287449392712551</v>
      </c>
      <c r="W100" s="18">
        <v>0.07310678967279485</v>
      </c>
      <c r="X100" s="18">
        <v>0.06721643326475078</v>
      </c>
      <c r="Y100" s="196">
        <v>0.06957257582796841</v>
      </c>
      <c r="AA100" s="18">
        <v>-0.010300160979711648</v>
      </c>
      <c r="AB100" s="18">
        <v>-5.752936820359045E-4</v>
      </c>
      <c r="AC100" s="18">
        <v>-0.013692266310647128</v>
      </c>
      <c r="AD100" s="18">
        <v>-0.0017122543664306322</v>
      </c>
      <c r="AE100" s="18">
        <v>0.02132776136426684</v>
      </c>
      <c r="AF100" s="18">
        <v>0.0054412313062639495</v>
      </c>
      <c r="AG100" s="18">
        <v>-0.0031221063403813476</v>
      </c>
      <c r="AH100" s="18">
        <v>0.041422172046660766</v>
      </c>
      <c r="AI100" s="18">
        <v>0.012086192965057307</v>
      </c>
      <c r="AJ100" s="18">
        <v>-3.53250578787323E-4</v>
      </c>
      <c r="AK100" s="18">
        <v>-0.0010589786820948133</v>
      </c>
    </row>
    <row r="101">
      <c r="A101" s="230">
        <f>IFERROR(__xludf.DUMMYFUNCTION("""COMPUTED_VALUE"""),45825.66666666667)</f>
        <v>45825.66667</v>
      </c>
      <c r="B101" s="18">
        <f>IFERROR(__xludf.DUMMYFUNCTION("""COMPUTED_VALUE"""),597.53)</f>
        <v>597.53</v>
      </c>
      <c r="C101" s="18">
        <f>IFERROR(__xludf.DUMMYFUNCTION("IFERROR(VLOOKUP($A101, GOOGLEFINANCE(C$1, ""price"", $A$2, TODAY()), 2, FALSE), """")"),120.66)</f>
        <v>120.66</v>
      </c>
      <c r="D101" s="18">
        <f>IFERROR(__xludf.DUMMYFUNCTION("IFERROR(VLOOKUP($A101, GOOGLEFINANCE(D$1, ""price"", $A$2, TODAY()), 2, FALSE), """")"),105.17)</f>
        <v>105.17</v>
      </c>
      <c r="E101" s="18">
        <f>IFERROR(__xludf.DUMMYFUNCTION("IFERROR(VLOOKUP($A101, GOOGLEFINANCE(E$1, ""price"", $A$2, TODAY()), 2, FALSE), """")"),50.24)</f>
        <v>50.24</v>
      </c>
      <c r="F101" s="18">
        <f>IFERROR(__xludf.DUMMYFUNCTION("IFERROR(VLOOKUP($A101, GOOGLEFINANCE(F$1, ""price"", $A$2, TODAY()), 2, FALSE), """")"),103.42)</f>
        <v>103.42</v>
      </c>
      <c r="G101" s="18">
        <f>IFERROR(__xludf.DUMMYFUNCTION("IFERROR(VLOOKUP($A101, GOOGLEFINANCE(G$1, ""price"", $A$2, TODAY()), 2, FALSE), """")"),133.47)</f>
        <v>133.47</v>
      </c>
      <c r="H101" s="18">
        <f>IFERROR(__xludf.DUMMYFUNCTION("IFERROR(VLOOKUP($A101, GOOGLEFINANCE(H$1, ""price"", $A$2, TODAY()), 2, FALSE), """")"),80.53)</f>
        <v>80.53</v>
      </c>
      <c r="I101" s="18">
        <f>IFERROR(__xludf.DUMMYFUNCTION("IFERROR(VLOOKUP($A101, GOOGLEFINANCE(I$1, ""price"", $A$2, TODAY()), 2, FALSE), """")"),142.55)</f>
        <v>142.55</v>
      </c>
      <c r="J101" s="18">
        <f>IFERROR(__xludf.DUMMYFUNCTION("IFERROR(VLOOKUP($A101, GOOGLEFINANCE(J$1, ""price"", $A$2, TODAY()), 2, FALSE), """")"),44.33)</f>
        <v>44.33</v>
      </c>
      <c r="K101" s="18">
        <f>IFERROR(__xludf.DUMMYFUNCTION("IFERROR(VLOOKUP($A101, GOOGLEFINANCE(K$1, ""price"", $A$2, TODAY()), 2, FALSE), """")"),43.63)</f>
        <v>43.63</v>
      </c>
      <c r="L101" s="18">
        <f>IFERROR(__xludf.DUMMYFUNCTION("IFERROR(VLOOKUP($A101, GOOGLEFINANCE(L$1, ""price"", $A$2, TODAY()), 2, FALSE), """")"),40.17)</f>
        <v>40.17</v>
      </c>
      <c r="M101" s="196">
        <f>IFERROR(__xludf.DUMMYFUNCTION("IFERROR(VLOOKUP($A101, GOOGLEFINANCE(M$1, ""price"", $A$2, TODAY()), 2, FALSE), """")"),41.76)</f>
        <v>41.76</v>
      </c>
      <c r="O101" s="18">
        <v>0.20193128378491457</v>
      </c>
      <c r="P101" s="18">
        <v>0.17600789918497817</v>
      </c>
      <c r="Q101" s="18">
        <v>0.08407946044550065</v>
      </c>
      <c r="R101" s="18">
        <v>0.17307917594095695</v>
      </c>
      <c r="S101" s="18">
        <v>0.22336953793114991</v>
      </c>
      <c r="T101" s="18">
        <v>0.1347714759091594</v>
      </c>
      <c r="U101" s="18">
        <v>0.23856542767727146</v>
      </c>
      <c r="V101" s="18">
        <v>0.07418874366140613</v>
      </c>
      <c r="W101" s="18">
        <v>0.07301725436379763</v>
      </c>
      <c r="X101" s="18">
        <v>0.06722675012133282</v>
      </c>
      <c r="Y101" s="196">
        <v>0.06988770438304352</v>
      </c>
      <c r="AA101" s="18">
        <v>-0.0167106110723666</v>
      </c>
      <c r="AB101" s="18">
        <v>0.003078154071002981</v>
      </c>
      <c r="AC101" s="18">
        <v>-0.007074070693010026</v>
      </c>
      <c r="AD101" s="18">
        <v>-0.001237246485374044</v>
      </c>
      <c r="AE101" s="18">
        <v>0.012786511342492313</v>
      </c>
      <c r="AF101" s="18">
        <v>0.01972156597668051</v>
      </c>
      <c r="AG101" s="18">
        <v>0.0073573685590835325</v>
      </c>
      <c r="AH101" s="18">
        <v>0.06556588719453238</v>
      </c>
      <c r="AI101" s="18">
        <v>0.021198697750491213</v>
      </c>
      <c r="AJ101" s="18">
        <v>0.01402992630220079</v>
      </c>
      <c r="AK101" s="18">
        <v>0.029110431361469624</v>
      </c>
    </row>
    <row r="102">
      <c r="A102" s="230">
        <f>IFERROR(__xludf.DUMMYFUNCTION("""COMPUTED_VALUE"""),45826.66666666667)</f>
        <v>45826.66667</v>
      </c>
      <c r="B102" s="18">
        <f>IFERROR(__xludf.DUMMYFUNCTION("""COMPUTED_VALUE"""),597.44)</f>
        <v>597.44</v>
      </c>
      <c r="C102" s="18">
        <f>IFERROR(__xludf.DUMMYFUNCTION("IFERROR(VLOOKUP($A102, GOOGLEFINANCE(C$1, ""price"", $A$2, TODAY()), 2, FALSE), """")"),120.81)</f>
        <v>120.81</v>
      </c>
      <c r="D102" s="18">
        <f>IFERROR(__xludf.DUMMYFUNCTION("IFERROR(VLOOKUP($A102, GOOGLEFINANCE(D$1, ""price"", $A$2, TODAY()), 2, FALSE), """")"),105.22)</f>
        <v>105.22</v>
      </c>
      <c r="E102" s="18">
        <f>IFERROR(__xludf.DUMMYFUNCTION("IFERROR(VLOOKUP($A102, GOOGLEFINANCE(E$1, ""price"", $A$2, TODAY()), 2, FALSE), """")"),50.22)</f>
        <v>50.22</v>
      </c>
      <c r="F102" s="18">
        <f>IFERROR(__xludf.DUMMYFUNCTION("IFERROR(VLOOKUP($A102, GOOGLEFINANCE(F$1, ""price"", $A$2, TODAY()), 2, FALSE), """")"),103.47)</f>
        <v>103.47</v>
      </c>
      <c r="G102" s="18">
        <f>IFERROR(__xludf.DUMMYFUNCTION("IFERROR(VLOOKUP($A102, GOOGLEFINANCE(G$1, ""price"", $A$2, TODAY()), 2, FALSE), """")"),133.24)</f>
        <v>133.24</v>
      </c>
      <c r="H102" s="18">
        <f>IFERROR(__xludf.DUMMYFUNCTION("IFERROR(VLOOKUP($A102, GOOGLEFINANCE(H$1, ""price"", $A$2, TODAY()), 2, FALSE), """")"),80.43)</f>
        <v>80.43</v>
      </c>
      <c r="I102" s="18">
        <f>IFERROR(__xludf.DUMMYFUNCTION("IFERROR(VLOOKUP($A102, GOOGLEFINANCE(I$1, ""price"", $A$2, TODAY()), 2, FALSE), """")"),142.21)</f>
        <v>142.21</v>
      </c>
      <c r="J102" s="18">
        <f>IFERROR(__xludf.DUMMYFUNCTION("IFERROR(VLOOKUP($A102, GOOGLEFINANCE(J$1, ""price"", $A$2, TODAY()), 2, FALSE), """")"),44.04)</f>
        <v>44.04</v>
      </c>
      <c r="K102" s="18">
        <f>IFERROR(__xludf.DUMMYFUNCTION("IFERROR(VLOOKUP($A102, GOOGLEFINANCE(K$1, ""price"", $A$2, TODAY()), 2, FALSE), """")"),43.51)</f>
        <v>43.51</v>
      </c>
      <c r="L102" s="18">
        <f>IFERROR(__xludf.DUMMYFUNCTION("IFERROR(VLOOKUP($A102, GOOGLEFINANCE(L$1, ""price"", $A$2, TODAY()), 2, FALSE), """")"),40.28)</f>
        <v>40.28</v>
      </c>
      <c r="M102" s="196">
        <f>IFERROR(__xludf.DUMMYFUNCTION("IFERROR(VLOOKUP($A102, GOOGLEFINANCE(M$1, ""price"", $A$2, TODAY()), 2, FALSE), """")"),41.84)</f>
        <v>41.84</v>
      </c>
      <c r="O102" s="18">
        <v>0.20221277450455274</v>
      </c>
      <c r="P102" s="18">
        <v>0.17611810391001606</v>
      </c>
      <c r="Q102" s="18">
        <v>0.08405865024102838</v>
      </c>
      <c r="R102" s="18">
        <v>0.17318893947509373</v>
      </c>
      <c r="S102" s="18">
        <v>0.22301821103374397</v>
      </c>
      <c r="T102" s="18">
        <v>0.13462439742903054</v>
      </c>
      <c r="U102" s="18">
        <v>0.2380322710230316</v>
      </c>
      <c r="V102" s="18">
        <v>0.07371451526513122</v>
      </c>
      <c r="W102" s="18">
        <v>0.07282739689341187</v>
      </c>
      <c r="X102" s="18">
        <v>0.06742099625066952</v>
      </c>
      <c r="Y102" s="196">
        <v>0.07003213711837172</v>
      </c>
      <c r="AA102" s="18">
        <v>-0.014434201560453386</v>
      </c>
      <c r="AB102" s="18">
        <v>0.002338240530383562</v>
      </c>
      <c r="AC102" s="18">
        <v>-0.006893872890943564</v>
      </c>
      <c r="AD102" s="18">
        <v>-0.004330391838526904</v>
      </c>
      <c r="AE102" s="18">
        <v>0.0166752554404479</v>
      </c>
      <c r="AF102" s="18">
        <v>0.027474492389932825</v>
      </c>
      <c r="AG102" s="18">
        <v>0.0020971905247166855</v>
      </c>
      <c r="AH102" s="18">
        <v>0.05185868599057453</v>
      </c>
      <c r="AI102" s="18">
        <v>0.015285927026017943</v>
      </c>
      <c r="AJ102" s="18">
        <v>0.01633123862767083</v>
      </c>
      <c r="AK102" s="18">
        <v>0.04590099435240669</v>
      </c>
    </row>
    <row r="103">
      <c r="A103" s="230">
        <f>IFERROR(__xludf.DUMMYFUNCTION("""COMPUTED_VALUE"""),45828.66666666667)</f>
        <v>45828.66667</v>
      </c>
      <c r="B103" s="18">
        <f>IFERROR(__xludf.DUMMYFUNCTION("""COMPUTED_VALUE"""),594.28)</f>
        <v>594.28</v>
      </c>
      <c r="C103" s="18">
        <f>IFERROR(__xludf.DUMMYFUNCTION("IFERROR(VLOOKUP($A103, GOOGLEFINANCE(C$1, ""price"", $A$2, TODAY()), 2, FALSE), """")"),120.27)</f>
        <v>120.27</v>
      </c>
      <c r="D103" s="18">
        <f>IFERROR(__xludf.DUMMYFUNCTION("IFERROR(VLOOKUP($A103, GOOGLEFINANCE(D$1, ""price"", $A$2, TODAY()), 2, FALSE), """")"),105.34)</f>
        <v>105.34</v>
      </c>
      <c r="E103" s="18">
        <f>IFERROR(__xludf.DUMMYFUNCTION("IFERROR(VLOOKUP($A103, GOOGLEFINANCE(E$1, ""price"", $A$2, TODAY()), 2, FALSE), """")"),50.36)</f>
        <v>50.36</v>
      </c>
      <c r="F103" s="18">
        <f>IFERROR(__xludf.DUMMYFUNCTION("IFERROR(VLOOKUP($A103, GOOGLEFINANCE(F$1, ""price"", $A$2, TODAY()), 2, FALSE), """")"),102.84)</f>
        <v>102.84</v>
      </c>
      <c r="G103" s="18">
        <f>IFERROR(__xludf.DUMMYFUNCTION("IFERROR(VLOOKUP($A103, GOOGLEFINANCE(G$1, ""price"", $A$2, TODAY()), 2, FALSE), """")"),132.6)</f>
        <v>132.6</v>
      </c>
      <c r="H103" s="18">
        <f>IFERROR(__xludf.DUMMYFUNCTION("IFERROR(VLOOKUP($A103, GOOGLEFINANCE(H$1, ""price"", $A$2, TODAY()), 2, FALSE), """")"),81.02)</f>
        <v>81.02</v>
      </c>
      <c r="I103" s="18">
        <f>IFERROR(__xludf.DUMMYFUNCTION("IFERROR(VLOOKUP($A103, GOOGLEFINANCE(I$1, ""price"", $A$2, TODAY()), 2, FALSE), """")"),142.37)</f>
        <v>142.37</v>
      </c>
      <c r="J103" s="18">
        <f>IFERROR(__xludf.DUMMYFUNCTION("IFERROR(VLOOKUP($A103, GOOGLEFINANCE(J$1, ""price"", $A$2, TODAY()), 2, FALSE), """")"),44.49)</f>
        <v>44.49</v>
      </c>
      <c r="K103" s="18">
        <f>IFERROR(__xludf.DUMMYFUNCTION("IFERROR(VLOOKUP($A103, GOOGLEFINANCE(K$1, ""price"", $A$2, TODAY()), 2, FALSE), """")"),43.21)</f>
        <v>43.21</v>
      </c>
      <c r="L103" s="18">
        <f>IFERROR(__xludf.DUMMYFUNCTION("IFERROR(VLOOKUP($A103, GOOGLEFINANCE(L$1, ""price"", $A$2, TODAY()), 2, FALSE), """")"),40.39)</f>
        <v>40.39</v>
      </c>
      <c r="M103" s="196">
        <f>IFERROR(__xludf.DUMMYFUNCTION("IFERROR(VLOOKUP($A103, GOOGLEFINANCE(M$1, ""price"", $A$2, TODAY()), 2, FALSE), """")"),41.83)</f>
        <v>41.83</v>
      </c>
      <c r="O103" s="18">
        <v>0.2023793498014404</v>
      </c>
      <c r="P103" s="18">
        <v>0.17725651208184695</v>
      </c>
      <c r="Q103" s="18">
        <v>0.08474119943460995</v>
      </c>
      <c r="R103" s="18">
        <v>0.17304974086289293</v>
      </c>
      <c r="S103" s="18">
        <v>0.22312714545332166</v>
      </c>
      <c r="T103" s="18">
        <v>0.13633304166386215</v>
      </c>
      <c r="U103" s="18">
        <v>0.23956720737699402</v>
      </c>
      <c r="V103" s="18">
        <v>0.0748637006125059</v>
      </c>
      <c r="W103" s="18">
        <v>0.07270983374840143</v>
      </c>
      <c r="X103" s="18">
        <v>0.06796459581342129</v>
      </c>
      <c r="Y103" s="196">
        <v>0.07038769603553881</v>
      </c>
      <c r="AA103" s="18">
        <v>-0.007535800411486493</v>
      </c>
      <c r="AB103" s="18">
        <v>-0.0027739995951646668</v>
      </c>
      <c r="AC103" s="18">
        <v>0.0032385626556796776</v>
      </c>
      <c r="AD103" s="18">
        <v>-0.011794055033418571</v>
      </c>
      <c r="AE103" s="18">
        <v>0.024438983130754988</v>
      </c>
      <c r="AF103" s="18">
        <v>0.04075171507790776</v>
      </c>
      <c r="AG103" s="18">
        <v>0.00355795005237014</v>
      </c>
      <c r="AH103" s="18">
        <v>0.07935376655653004</v>
      </c>
      <c r="AI103" s="18">
        <v>0.017292465761763687</v>
      </c>
      <c r="AJ103" s="18">
        <v>0.027590597777990666</v>
      </c>
      <c r="AK103" s="18">
        <v>0.052580208395261785</v>
      </c>
    </row>
    <row r="104">
      <c r="A104" s="230">
        <f>IFERROR(__xludf.DUMMYFUNCTION("""COMPUTED_VALUE"""),45831.66666666667)</f>
        <v>45831.66667</v>
      </c>
      <c r="B104" s="18">
        <f>IFERROR(__xludf.DUMMYFUNCTION("""COMPUTED_VALUE"""),600.15)</f>
        <v>600.15</v>
      </c>
      <c r="C104" s="18">
        <f>IFERROR(__xludf.DUMMYFUNCTION("IFERROR(VLOOKUP($A104, GOOGLEFINANCE(C$1, ""price"", $A$2, TODAY()), 2, FALSE), """")"),121.44)</f>
        <v>121.44</v>
      </c>
      <c r="D104" s="18">
        <f>IFERROR(__xludf.DUMMYFUNCTION("IFERROR(VLOOKUP($A104, GOOGLEFINANCE(D$1, ""price"", $A$2, TODAY()), 2, FALSE), """")"),107.2)</f>
        <v>107.2</v>
      </c>
      <c r="E104" s="18">
        <f>IFERROR(__xludf.DUMMYFUNCTION("IFERROR(VLOOKUP($A104, GOOGLEFINANCE(E$1, ""price"", $A$2, TODAY()), 2, FALSE), """")"),50.82)</f>
        <v>50.82</v>
      </c>
      <c r="F104" s="18">
        <f>IFERROR(__xludf.DUMMYFUNCTION("IFERROR(VLOOKUP($A104, GOOGLEFINANCE(F$1, ""price"", $A$2, TODAY()), 2, FALSE), """")"),103.89)</f>
        <v>103.89</v>
      </c>
      <c r="G104" s="18">
        <f>IFERROR(__xludf.DUMMYFUNCTION("IFERROR(VLOOKUP($A104, GOOGLEFINANCE(G$1, ""price"", $A$2, TODAY()), 2, FALSE), """")"),132.16)</f>
        <v>132.16</v>
      </c>
      <c r="H104" s="18">
        <f>IFERROR(__xludf.DUMMYFUNCTION("IFERROR(VLOOKUP($A104, GOOGLEFINANCE(H$1, ""price"", $A$2, TODAY()), 2, FALSE), """")"),81.4)</f>
        <v>81.4</v>
      </c>
      <c r="I104" s="18">
        <f>IFERROR(__xludf.DUMMYFUNCTION("IFERROR(VLOOKUP($A104, GOOGLEFINANCE(I$1, ""price"", $A$2, TODAY()), 2, FALSE), """")"),143.86)</f>
        <v>143.86</v>
      </c>
      <c r="J104" s="18">
        <f>IFERROR(__xludf.DUMMYFUNCTION("IFERROR(VLOOKUP($A104, GOOGLEFINANCE(J$1, ""price"", $A$2, TODAY()), 2, FALSE), """")"),43.02)</f>
        <v>43.02</v>
      </c>
      <c r="K104" s="18">
        <f>IFERROR(__xludf.DUMMYFUNCTION("IFERROR(VLOOKUP($A104, GOOGLEFINANCE(K$1, ""price"", $A$2, TODAY()), 2, FALSE), """")"),43.47)</f>
        <v>43.47</v>
      </c>
      <c r="L104" s="18">
        <f>IFERROR(__xludf.DUMMYFUNCTION("IFERROR(VLOOKUP($A104, GOOGLEFINANCE(L$1, ""price"", $A$2, TODAY()), 2, FALSE), """")"),40.62)</f>
        <v>40.62</v>
      </c>
      <c r="M104" s="196">
        <f>IFERROR(__xludf.DUMMYFUNCTION("IFERROR(VLOOKUP($A104, GOOGLEFINANCE(M$1, ""price"", $A$2, TODAY()), 2, FALSE), """")"),42.06)</f>
        <v>42.06</v>
      </c>
      <c r="O104" s="18">
        <v>0.20234941264683828</v>
      </c>
      <c r="P104" s="18">
        <v>0.17862201116387572</v>
      </c>
      <c r="Q104" s="18">
        <v>0.0846788302924269</v>
      </c>
      <c r="R104" s="18">
        <v>0.1731067233191702</v>
      </c>
      <c r="S104" s="18">
        <v>0.22021161376322587</v>
      </c>
      <c r="T104" s="18">
        <v>0.13563275847704742</v>
      </c>
      <c r="U104" s="18">
        <v>0.23970673998167127</v>
      </c>
      <c r="V104" s="18">
        <v>0.07168207948012997</v>
      </c>
      <c r="W104" s="18">
        <v>0.07243189202699325</v>
      </c>
      <c r="X104" s="18">
        <v>0.06768307923019246</v>
      </c>
      <c r="Y104" s="196">
        <v>0.07008247938015497</v>
      </c>
      <c r="AA104" s="18">
        <v>-0.01262371976110388</v>
      </c>
      <c r="AB104" s="18">
        <v>0.015566481987674852</v>
      </c>
      <c r="AC104" s="18">
        <v>-9.773668860804108E-4</v>
      </c>
      <c r="AD104" s="18">
        <v>-0.014521431836825638</v>
      </c>
      <c r="AE104" s="18">
        <v>0.00940533840499369</v>
      </c>
      <c r="AF104" s="18">
        <v>0.03495985951641045</v>
      </c>
      <c r="AG104" s="18">
        <v>0.00395071378576195</v>
      </c>
      <c r="AH104" s="18">
        <v>0.04430023123787574</v>
      </c>
      <c r="AI104" s="18">
        <v>0.01917659961006124</v>
      </c>
      <c r="AJ104" s="18">
        <v>0.0241976610917074</v>
      </c>
      <c r="AK104" s="18">
        <v>0.04539980408084854</v>
      </c>
    </row>
    <row r="105">
      <c r="A105" s="230">
        <f>IFERROR(__xludf.DUMMYFUNCTION("""COMPUTED_VALUE"""),45832.66666666667)</f>
        <v>45832.66667</v>
      </c>
      <c r="B105" s="18">
        <f>IFERROR(__xludf.DUMMYFUNCTION("""COMPUTED_VALUE"""),606.78)</f>
        <v>606.78</v>
      </c>
      <c r="C105" s="18">
        <f>IFERROR(__xludf.DUMMYFUNCTION("IFERROR(VLOOKUP($A105, GOOGLEFINANCE(C$1, ""price"", $A$2, TODAY()), 2, FALSE), """")"),123.62)</f>
        <v>123.62</v>
      </c>
      <c r="D105" s="18">
        <f>IFERROR(__xludf.DUMMYFUNCTION("IFERROR(VLOOKUP($A105, GOOGLEFINANCE(D$1, ""price"", $A$2, TODAY()), 2, FALSE), """")"),107.8)</f>
        <v>107.8</v>
      </c>
      <c r="E105" s="18">
        <f>IFERROR(__xludf.DUMMYFUNCTION("IFERROR(VLOOKUP($A105, GOOGLEFINANCE(E$1, ""price"", $A$2, TODAY()), 2, FALSE), """")"),51.58)</f>
        <v>51.58</v>
      </c>
      <c r="F105" s="18">
        <f>IFERROR(__xludf.DUMMYFUNCTION("IFERROR(VLOOKUP($A105, GOOGLEFINANCE(F$1, ""price"", $A$2, TODAY()), 2, FALSE), """")"),105.23)</f>
        <v>105.23</v>
      </c>
      <c r="G105" s="18">
        <f>IFERROR(__xludf.DUMMYFUNCTION("IFERROR(VLOOKUP($A105, GOOGLEFINANCE(G$1, ""price"", $A$2, TODAY()), 2, FALSE), """")"),133.78)</f>
        <v>133.78</v>
      </c>
      <c r="H105" s="18">
        <f>IFERROR(__xludf.DUMMYFUNCTION("IFERROR(VLOOKUP($A105, GOOGLEFINANCE(H$1, ""price"", $A$2, TODAY()), 2, FALSE), """")"),81.33)</f>
        <v>81.33</v>
      </c>
      <c r="I105" s="18">
        <f>IFERROR(__xludf.DUMMYFUNCTION("IFERROR(VLOOKUP($A105, GOOGLEFINANCE(I$1, ""price"", $A$2, TODAY()), 2, FALSE), """")"),145.06)</f>
        <v>145.06</v>
      </c>
      <c r="J105" s="18">
        <f>IFERROR(__xludf.DUMMYFUNCTION("IFERROR(VLOOKUP($A105, GOOGLEFINANCE(J$1, ""price"", $A$2, TODAY()), 2, FALSE), """")"),42.46)</f>
        <v>42.46</v>
      </c>
      <c r="K105" s="18">
        <f>IFERROR(__xludf.DUMMYFUNCTION("IFERROR(VLOOKUP($A105, GOOGLEFINANCE(K$1, ""price"", $A$2, TODAY()), 2, FALSE), """")"),43.83)</f>
        <v>43.83</v>
      </c>
      <c r="L105" s="18">
        <f>IFERROR(__xludf.DUMMYFUNCTION("IFERROR(VLOOKUP($A105, GOOGLEFINANCE(L$1, ""price"", $A$2, TODAY()), 2, FALSE), """")"),40.8)</f>
        <v>40.8</v>
      </c>
      <c r="M105" s="196">
        <f>IFERROR(__xludf.DUMMYFUNCTION("IFERROR(VLOOKUP($A105, GOOGLEFINANCE(M$1, ""price"", $A$2, TODAY()), 2, FALSE), """")"),42.26)</f>
        <v>42.26</v>
      </c>
      <c r="O105" s="18">
        <v>0.20373117109990443</v>
      </c>
      <c r="P105" s="18">
        <v>0.17765911862619072</v>
      </c>
      <c r="Q105" s="18">
        <v>0.08500609776195656</v>
      </c>
      <c r="R105" s="18">
        <v>0.17342364613204128</v>
      </c>
      <c r="S105" s="18">
        <v>0.22047529582385708</v>
      </c>
      <c r="T105" s="18">
        <v>0.13403539998022349</v>
      </c>
      <c r="U105" s="18">
        <v>0.23906522957249746</v>
      </c>
      <c r="V105" s="18">
        <v>0.06997593856092818</v>
      </c>
      <c r="W105" s="18">
        <v>0.07223375852862653</v>
      </c>
      <c r="X105" s="18">
        <v>0.06724018589933749</v>
      </c>
      <c r="Y105" s="196">
        <v>0.06964632980651966</v>
      </c>
      <c r="AA105" s="18">
        <v>0.002745699496820242</v>
      </c>
      <c r="AB105" s="18">
        <v>0.00550861009316117</v>
      </c>
      <c r="AC105" s="18">
        <v>-0.002962091100029096</v>
      </c>
      <c r="AD105" s="18">
        <v>-0.005984455888499607</v>
      </c>
      <c r="AE105" s="18">
        <v>-0.0039019350039842804</v>
      </c>
      <c r="AF105" s="18">
        <v>0.00984343495712392</v>
      </c>
      <c r="AG105" s="18">
        <v>-0.0023739001050397945</v>
      </c>
      <c r="AH105" s="18">
        <v>0.01148229469125428</v>
      </c>
      <c r="AI105" s="18">
        <v>-0.009432039182811325</v>
      </c>
      <c r="AJ105" s="18">
        <v>0.013690525280102506</v>
      </c>
      <c r="AK105" s="18">
        <v>0.03158406726611185</v>
      </c>
    </row>
    <row r="106">
      <c r="A106" s="230">
        <f>IFERROR(__xludf.DUMMYFUNCTION("""COMPUTED_VALUE"""),45833.66666666667)</f>
        <v>45833.66667</v>
      </c>
      <c r="B106" s="18">
        <f>IFERROR(__xludf.DUMMYFUNCTION("""COMPUTED_VALUE"""),607.12)</f>
        <v>607.12</v>
      </c>
      <c r="C106" s="18">
        <f>IFERROR(__xludf.DUMMYFUNCTION("IFERROR(VLOOKUP($A106, GOOGLEFINANCE(C$1, ""price"", $A$2, TODAY()), 2, FALSE), """")"),124.68)</f>
        <v>124.68</v>
      </c>
      <c r="D106" s="18">
        <f>IFERROR(__xludf.DUMMYFUNCTION("IFERROR(VLOOKUP($A106, GOOGLEFINANCE(D$1, ""price"", $A$2, TODAY()), 2, FALSE), """")"),106.53)</f>
        <v>106.53</v>
      </c>
      <c r="E106" s="18">
        <f>IFERROR(__xludf.DUMMYFUNCTION("IFERROR(VLOOKUP($A106, GOOGLEFINANCE(E$1, ""price"", $A$2, TODAY()), 2, FALSE), """")"),51.41)</f>
        <v>51.41</v>
      </c>
      <c r="F106" s="18">
        <f>IFERROR(__xludf.DUMMYFUNCTION("IFERROR(VLOOKUP($A106, GOOGLEFINANCE(F$1, ""price"", $A$2, TODAY()), 2, FALSE), """")"),105.21)</f>
        <v>105.21</v>
      </c>
      <c r="G106" s="18">
        <f>IFERROR(__xludf.DUMMYFUNCTION("IFERROR(VLOOKUP($A106, GOOGLEFINANCE(G$1, ""price"", $A$2, TODAY()), 2, FALSE), """")"),133.9)</f>
        <v>133.9</v>
      </c>
      <c r="H106" s="18">
        <f>IFERROR(__xludf.DUMMYFUNCTION("IFERROR(VLOOKUP($A106, GOOGLEFINANCE(H$1, ""price"", $A$2, TODAY()), 2, FALSE), """")"),80.24)</f>
        <v>80.24</v>
      </c>
      <c r="I106" s="18">
        <f>IFERROR(__xludf.DUMMYFUNCTION("IFERROR(VLOOKUP($A106, GOOGLEFINANCE(I$1, ""price"", $A$2, TODAY()), 2, FALSE), """")"),143.78)</f>
        <v>143.78</v>
      </c>
      <c r="J106" s="18">
        <f>IFERROR(__xludf.DUMMYFUNCTION("IFERROR(VLOOKUP($A106, GOOGLEFINANCE(J$1, ""price"", $A$2, TODAY()), 2, FALSE), """")"),42.27)</f>
        <v>42.27</v>
      </c>
      <c r="K106" s="18">
        <f>IFERROR(__xludf.DUMMYFUNCTION("IFERROR(VLOOKUP($A106, GOOGLEFINANCE(K$1, ""price"", $A$2, TODAY()), 2, FALSE), """")"),43.41)</f>
        <v>43.41</v>
      </c>
      <c r="L106" s="18">
        <f>IFERROR(__xludf.DUMMYFUNCTION("IFERROR(VLOOKUP($A106, GOOGLEFINANCE(L$1, ""price"", $A$2, TODAY()), 2, FALSE), """")"),40.25)</f>
        <v>40.25</v>
      </c>
      <c r="M106" s="196">
        <f>IFERROR(__xludf.DUMMYFUNCTION("IFERROR(VLOOKUP($A106, GOOGLEFINANCE(M$1, ""price"", $A$2, TODAY()), 2, FALSE), """")"),41.23)</f>
        <v>41.23</v>
      </c>
      <c r="O106" s="18">
        <v>0.20536302543154566</v>
      </c>
      <c r="P106" s="18">
        <v>0.17546778231651075</v>
      </c>
      <c r="Q106" s="18">
        <v>0.0846784820134405</v>
      </c>
      <c r="R106" s="18">
        <v>0.17329358281723545</v>
      </c>
      <c r="S106" s="18">
        <v>0.22054947950981685</v>
      </c>
      <c r="T106" s="18">
        <v>0.13216497562261167</v>
      </c>
      <c r="U106" s="18">
        <v>0.23682303333772567</v>
      </c>
      <c r="V106" s="18">
        <v>0.06962379760179208</v>
      </c>
      <c r="W106" s="18">
        <v>0.07150151535116615</v>
      </c>
      <c r="X106" s="18">
        <v>0.0662966135195678</v>
      </c>
      <c r="Y106" s="196">
        <v>0.0679107919356964</v>
      </c>
      <c r="AA106" s="18">
        <v>0.004790545926997236</v>
      </c>
      <c r="AB106" s="18">
        <v>-0.01037191584147712</v>
      </c>
      <c r="AC106" s="18">
        <v>-0.001543820500966131</v>
      </c>
      <c r="AD106" s="18">
        <v>6.514979893321726E-4</v>
      </c>
      <c r="AE106" s="18">
        <v>0.010933248831751285</v>
      </c>
      <c r="AF106" s="18">
        <v>-0.002654352650822034</v>
      </c>
      <c r="AG106" s="18">
        <v>-0.008255595070248978</v>
      </c>
      <c r="AH106" s="18">
        <v>-0.006255228386659706</v>
      </c>
      <c r="AI106" s="18">
        <v>-0.029678145239915854</v>
      </c>
      <c r="AJ106" s="18">
        <v>0.012647313102310376</v>
      </c>
      <c r="AK106" s="18">
        <v>0.008502892687956454</v>
      </c>
    </row>
    <row r="107">
      <c r="A107" s="230">
        <f>IFERROR(__xludf.DUMMYFUNCTION("""COMPUTED_VALUE"""),45834.66666666667)</f>
        <v>45834.66667</v>
      </c>
      <c r="B107" s="18">
        <f>IFERROR(__xludf.DUMMYFUNCTION("""COMPUTED_VALUE"""),611.87)</f>
        <v>611.87</v>
      </c>
      <c r="C107" s="18">
        <f>IFERROR(__xludf.DUMMYFUNCTION("IFERROR(VLOOKUP($A107, GOOGLEFINANCE(C$1, ""price"", $A$2, TODAY()), 2, FALSE), """")"),125.54)</f>
        <v>125.54</v>
      </c>
      <c r="D107" s="18">
        <f>IFERROR(__xludf.DUMMYFUNCTION("IFERROR(VLOOKUP($A107, GOOGLEFINANCE(D$1, ""price"", $A$2, TODAY()), 2, FALSE), """")"),107.51)</f>
        <v>107.51</v>
      </c>
      <c r="E107" s="18">
        <f>IFERROR(__xludf.DUMMYFUNCTION("IFERROR(VLOOKUP($A107, GOOGLEFINANCE(E$1, ""price"", $A$2, TODAY()), 2, FALSE), """")"),51.79)</f>
        <v>51.79</v>
      </c>
      <c r="F107" s="18">
        <f>IFERROR(__xludf.DUMMYFUNCTION("IFERROR(VLOOKUP($A107, GOOGLEFINANCE(F$1, ""price"", $A$2, TODAY()), 2, FALSE), """")"),106.43)</f>
        <v>106.43</v>
      </c>
      <c r="G107" s="18">
        <f>IFERROR(__xludf.DUMMYFUNCTION("IFERROR(VLOOKUP($A107, GOOGLEFINANCE(G$1, ""price"", $A$2, TODAY()), 2, FALSE), """")"),134.22)</f>
        <v>134.22</v>
      </c>
      <c r="H107" s="18">
        <f>IFERROR(__xludf.DUMMYFUNCTION("IFERROR(VLOOKUP($A107, GOOGLEFINANCE(H$1, ""price"", $A$2, TODAY()), 2, FALSE), """")"),80.17)</f>
        <v>80.17</v>
      </c>
      <c r="I107" s="18">
        <f>IFERROR(__xludf.DUMMYFUNCTION("IFERROR(VLOOKUP($A107, GOOGLEFINANCE(I$1, ""price"", $A$2, TODAY()), 2, FALSE), """")"),145.34)</f>
        <v>145.34</v>
      </c>
      <c r="J107" s="18">
        <f>IFERROR(__xludf.DUMMYFUNCTION("IFERROR(VLOOKUP($A107, GOOGLEFINANCE(J$1, ""price"", $A$2, TODAY()), 2, FALSE), """")"),42.88)</f>
        <v>42.88</v>
      </c>
      <c r="K107" s="18">
        <f>IFERROR(__xludf.DUMMYFUNCTION("IFERROR(VLOOKUP($A107, GOOGLEFINANCE(K$1, ""price"", $A$2, TODAY()), 2, FALSE), """")"),43.89)</f>
        <v>43.89</v>
      </c>
      <c r="L107" s="18">
        <f>IFERROR(__xludf.DUMMYFUNCTION("IFERROR(VLOOKUP($A107, GOOGLEFINANCE(L$1, ""price"", $A$2, TODAY()), 2, FALSE), """")"),40.59)</f>
        <v>40.59</v>
      </c>
      <c r="M107" s="196">
        <f>IFERROR(__xludf.DUMMYFUNCTION("IFERROR(VLOOKUP($A107, GOOGLEFINANCE(M$1, ""price"", $A$2, TODAY()), 2, FALSE), """")"),40.97)</f>
        <v>40.97</v>
      </c>
      <c r="O107" s="18">
        <v>0.20517430173075982</v>
      </c>
      <c r="P107" s="18">
        <v>0.17570725807769624</v>
      </c>
      <c r="Q107" s="18">
        <v>0.08464216255086865</v>
      </c>
      <c r="R107" s="18">
        <v>0.17394217725987549</v>
      </c>
      <c r="S107" s="18">
        <v>0.21936032163694902</v>
      </c>
      <c r="T107" s="18">
        <v>0.13102456404138135</v>
      </c>
      <c r="U107" s="18">
        <v>0.23753411672414076</v>
      </c>
      <c r="V107" s="18">
        <v>0.07008024580384722</v>
      </c>
      <c r="W107" s="18">
        <v>0.07173092323532776</v>
      </c>
      <c r="X107" s="18">
        <v>0.06633762073643094</v>
      </c>
      <c r="Y107" s="196">
        <v>0.06695866769084936</v>
      </c>
      <c r="AA107" s="18">
        <v>-0.0013722147858549194</v>
      </c>
      <c r="AB107" s="18">
        <v>-0.006628905466896429</v>
      </c>
      <c r="AC107" s="18">
        <v>-0.004885694123703654</v>
      </c>
      <c r="AD107" s="18">
        <v>0.006784534687990895</v>
      </c>
      <c r="AE107" s="18">
        <v>0.012360026069739405</v>
      </c>
      <c r="AF107" s="18">
        <v>-0.002982466808987505</v>
      </c>
      <c r="AG107" s="18">
        <v>-0.0058922195671650135</v>
      </c>
      <c r="AH107" s="18">
        <v>0.006984855491218411</v>
      </c>
      <c r="AI107" s="18">
        <v>-0.018248729788140405</v>
      </c>
      <c r="AJ107" s="18">
        <v>0.013772427940364818</v>
      </c>
      <c r="AK107" s="18">
        <v>0.0017208912391326603</v>
      </c>
    </row>
    <row r="108">
      <c r="A108" s="230">
        <f>IFERROR(__xludf.DUMMYFUNCTION("""COMPUTED_VALUE"""),45835.66666666667)</f>
        <v>45835.66667</v>
      </c>
      <c r="B108" s="18">
        <f>IFERROR(__xludf.DUMMYFUNCTION("""COMPUTED_VALUE"""),614.91)</f>
        <v>614.91</v>
      </c>
      <c r="C108" s="18">
        <f>IFERROR(__xludf.DUMMYFUNCTION("IFERROR(VLOOKUP($A108, GOOGLEFINANCE(C$1, ""price"", $A$2, TODAY()), 2, FALSE), """")"),125.39)</f>
        <v>125.39</v>
      </c>
      <c r="D108" s="18">
        <f>IFERROR(__xludf.DUMMYFUNCTION("IFERROR(VLOOKUP($A108, GOOGLEFINANCE(D$1, ""price"", $A$2, TODAY()), 2, FALSE), """")"),109.3)</f>
        <v>109.3</v>
      </c>
      <c r="E108" s="18">
        <f>IFERROR(__xludf.DUMMYFUNCTION("IFERROR(VLOOKUP($A108, GOOGLEFINANCE(E$1, ""price"", $A$2, TODAY()), 2, FALSE), """")"),51.94)</f>
        <v>51.94</v>
      </c>
      <c r="F108" s="18">
        <f>IFERROR(__xludf.DUMMYFUNCTION("IFERROR(VLOOKUP($A108, GOOGLEFINANCE(F$1, ""price"", $A$2, TODAY()), 2, FALSE), """")"),107.68)</f>
        <v>107.68</v>
      </c>
      <c r="G108" s="18">
        <f>IFERROR(__xludf.DUMMYFUNCTION("IFERROR(VLOOKUP($A108, GOOGLEFINANCE(G$1, ""price"", $A$2, TODAY()), 2, FALSE), """")"),133.93)</f>
        <v>133.93</v>
      </c>
      <c r="H108" s="18">
        <f>IFERROR(__xludf.DUMMYFUNCTION("IFERROR(VLOOKUP($A108, GOOGLEFINANCE(H$1, ""price"", $A$2, TODAY()), 2, FALSE), """")"),80.55)</f>
        <v>80.55</v>
      </c>
      <c r="I108" s="18">
        <f>IFERROR(__xludf.DUMMYFUNCTION("IFERROR(VLOOKUP($A108, GOOGLEFINANCE(I$1, ""price"", $A$2, TODAY()), 2, FALSE), """")"),146.79)</f>
        <v>146.79</v>
      </c>
      <c r="J108" s="18">
        <f>IFERROR(__xludf.DUMMYFUNCTION("IFERROR(VLOOKUP($A108, GOOGLEFINANCE(J$1, ""price"", $A$2, TODAY()), 2, FALSE), """")"),42.65)</f>
        <v>42.65</v>
      </c>
      <c r="K108" s="18">
        <f>IFERROR(__xludf.DUMMYFUNCTION("IFERROR(VLOOKUP($A108, GOOGLEFINANCE(K$1, ""price"", $A$2, TODAY()), 2, FALSE), """")"),43.95)</f>
        <v>43.95</v>
      </c>
      <c r="L108" s="18">
        <f>IFERROR(__xludf.DUMMYFUNCTION("IFERROR(VLOOKUP($A108, GOOGLEFINANCE(L$1, ""price"", $A$2, TODAY()), 2, FALSE), """")"),40.67)</f>
        <v>40.67</v>
      </c>
      <c r="M108" s="196">
        <f>IFERROR(__xludf.DUMMYFUNCTION("IFERROR(VLOOKUP($A108, GOOGLEFINANCE(M$1, ""price"", $A$2, TODAY()), 2, FALSE), """")"),41.12)</f>
        <v>41.12</v>
      </c>
      <c r="O108" s="18">
        <v>0.20391602023060287</v>
      </c>
      <c r="P108" s="18">
        <v>0.17774958937080224</v>
      </c>
      <c r="Q108" s="18">
        <v>0.08446764567172432</v>
      </c>
      <c r="R108" s="18">
        <v>0.1751150574880877</v>
      </c>
      <c r="S108" s="18">
        <v>0.21780423151355485</v>
      </c>
      <c r="T108" s="18">
        <v>0.13099477972386203</v>
      </c>
      <c r="U108" s="18">
        <v>0.23871786115041224</v>
      </c>
      <c r="V108" s="18">
        <v>0.06935974370233042</v>
      </c>
      <c r="W108" s="18">
        <v>0.07147387422549642</v>
      </c>
      <c r="X108" s="18">
        <v>0.06613976029012376</v>
      </c>
      <c r="Y108" s="196">
        <v>0.06687157470198891</v>
      </c>
      <c r="AA108" s="18">
        <v>-0.007009293607950884</v>
      </c>
      <c r="AB108" s="18">
        <v>0.010307830866937095</v>
      </c>
      <c r="AC108" s="18">
        <v>-0.004795400236790925</v>
      </c>
      <c r="AD108" s="18">
        <v>0.01579826057669398</v>
      </c>
      <c r="AE108" s="18">
        <v>0.006153099254489369</v>
      </c>
      <c r="AF108" s="18">
        <v>-0.009793692863150905</v>
      </c>
      <c r="AG108" s="18">
        <v>-0.004920066764017128</v>
      </c>
      <c r="AH108" s="18">
        <v>-0.0011553196946069155</v>
      </c>
      <c r="AI108" s="18">
        <v>-0.019615375595997575</v>
      </c>
      <c r="AJ108" s="18">
        <v>0.0010150308918317474</v>
      </c>
      <c r="AK108" s="18">
        <v>6.231674549295185E-4</v>
      </c>
    </row>
    <row r="109">
      <c r="A109" s="230">
        <f>IFERROR(__xludf.DUMMYFUNCTION("""COMPUTED_VALUE"""),45838.66666666667)</f>
        <v>45838.66667</v>
      </c>
      <c r="B109" s="18">
        <f>IFERROR(__xludf.DUMMYFUNCTION("""COMPUTED_VALUE"""),617.85)</f>
        <v>617.85</v>
      </c>
      <c r="C109" s="18">
        <f>IFERROR(__xludf.DUMMYFUNCTION("IFERROR(VLOOKUP($A109, GOOGLEFINANCE(C$1, ""price"", $A$2, TODAY()), 2, FALSE), """")"),126.62)</f>
        <v>126.62</v>
      </c>
      <c r="D109" s="18">
        <f>IFERROR(__xludf.DUMMYFUNCTION("IFERROR(VLOOKUP($A109, GOOGLEFINANCE(D$1, ""price"", $A$2, TODAY()), 2, FALSE), """")"),108.67)</f>
        <v>108.67</v>
      </c>
      <c r="E109" s="18">
        <f>IFERROR(__xludf.DUMMYFUNCTION("IFERROR(VLOOKUP($A109, GOOGLEFINANCE(E$1, ""price"", $A$2, TODAY()), 2, FALSE), """")"),52.37)</f>
        <v>52.37</v>
      </c>
      <c r="F109" s="18">
        <f>IFERROR(__xludf.DUMMYFUNCTION("IFERROR(VLOOKUP($A109, GOOGLEFINANCE(F$1, ""price"", $A$2, TODAY()), 2, FALSE), """")"),108.53)</f>
        <v>108.53</v>
      </c>
      <c r="G109" s="18">
        <f>IFERROR(__xludf.DUMMYFUNCTION("IFERROR(VLOOKUP($A109, GOOGLEFINANCE(G$1, ""price"", $A$2, TODAY()), 2, FALSE), """")"),134.79)</f>
        <v>134.79</v>
      </c>
      <c r="H109" s="18">
        <f>IFERROR(__xludf.DUMMYFUNCTION("IFERROR(VLOOKUP($A109, GOOGLEFINANCE(H$1, ""price"", $A$2, TODAY()), 2, FALSE), """")"),80.97)</f>
        <v>80.97</v>
      </c>
      <c r="I109" s="18">
        <f>IFERROR(__xludf.DUMMYFUNCTION("IFERROR(VLOOKUP($A109, GOOGLEFINANCE(I$1, ""price"", $A$2, TODAY()), 2, FALSE), """")"),147.52)</f>
        <v>147.52</v>
      </c>
      <c r="J109" s="18">
        <f>IFERROR(__xludf.DUMMYFUNCTION("IFERROR(VLOOKUP($A109, GOOGLEFINANCE(J$1, ""price"", $A$2, TODAY()), 2, FALSE), """")"),42.41)</f>
        <v>42.41</v>
      </c>
      <c r="K109" s="18">
        <f>IFERROR(__xludf.DUMMYFUNCTION("IFERROR(VLOOKUP($A109, GOOGLEFINANCE(K$1, ""price"", $A$2, TODAY()), 2, FALSE), """")"),43.91)</f>
        <v>43.91</v>
      </c>
      <c r="L109" s="18">
        <f>IFERROR(__xludf.DUMMYFUNCTION("IFERROR(VLOOKUP($A109, GOOGLEFINANCE(L$1, ""price"", $A$2, TODAY()), 2, FALSE), """")"),40.83)</f>
        <v>40.83</v>
      </c>
      <c r="M109" s="196">
        <f>IFERROR(__xludf.DUMMYFUNCTION("IFERROR(VLOOKUP($A109, GOOGLEFINANCE(M$1, ""price"", $A$2, TODAY()), 2, FALSE), """")"),41.42)</f>
        <v>41.42</v>
      </c>
      <c r="O109" s="18">
        <v>0.20493647325402606</v>
      </c>
      <c r="P109" s="18">
        <v>0.17588411426721695</v>
      </c>
      <c r="Q109" s="18">
        <v>0.08476167354535889</v>
      </c>
      <c r="R109" s="18">
        <v>0.17565752205227805</v>
      </c>
      <c r="S109" s="18">
        <v>0.21815974751153192</v>
      </c>
      <c r="T109" s="18">
        <v>0.1310512260257344</v>
      </c>
      <c r="U109" s="18">
        <v>0.238763453912762</v>
      </c>
      <c r="V109" s="18">
        <v>0.06864125596827708</v>
      </c>
      <c r="W109" s="18">
        <v>0.07106902969976531</v>
      </c>
      <c r="X109" s="18">
        <v>0.06608400097110949</v>
      </c>
      <c r="Y109" s="196">
        <v>0.06703892530549486</v>
      </c>
      <c r="AA109" s="18">
        <v>-0.007957145388977627</v>
      </c>
      <c r="AB109" s="18">
        <v>0.0025539965498977413</v>
      </c>
      <c r="AC109" s="18">
        <v>0.007107001860332085</v>
      </c>
      <c r="AD109" s="18">
        <v>0.020484989978555745</v>
      </c>
      <c r="AE109" s="18">
        <v>0.0026911000318865508</v>
      </c>
      <c r="AF109" s="18">
        <v>-6.598948641168834E-4</v>
      </c>
      <c r="AG109" s="18">
        <v>-0.005007920191839599</v>
      </c>
      <c r="AH109" s="18">
        <v>-0.03793681140169436</v>
      </c>
      <c r="AI109" s="18">
        <v>-0.03360451810713694</v>
      </c>
      <c r="AJ109" s="18">
        <v>0.01046460839088148</v>
      </c>
      <c r="AK109" s="18">
        <v>0.004030104394270317</v>
      </c>
    </row>
    <row r="110">
      <c r="A110" s="230">
        <f>IFERROR(__xludf.DUMMYFUNCTION("""COMPUTED_VALUE"""),45839.66666666667)</f>
        <v>45839.66667</v>
      </c>
      <c r="B110" s="18">
        <f>IFERROR(__xludf.DUMMYFUNCTION("""COMPUTED_VALUE"""),617.65)</f>
        <v>617.65</v>
      </c>
      <c r="C110" s="18">
        <f>IFERROR(__xludf.DUMMYFUNCTION("IFERROR(VLOOKUP($A110, GOOGLEFINANCE(C$1, ""price"", $A$2, TODAY()), 2, FALSE), """")"),125.49)</f>
        <v>125.49</v>
      </c>
      <c r="D110" s="18">
        <f>IFERROR(__xludf.DUMMYFUNCTION("IFERROR(VLOOKUP($A110, GOOGLEFINANCE(D$1, ""price"", $A$2, TODAY()), 2, FALSE), """")"),109.13)</f>
        <v>109.13</v>
      </c>
      <c r="E110" s="18">
        <f>IFERROR(__xludf.DUMMYFUNCTION("IFERROR(VLOOKUP($A110, GOOGLEFINANCE(E$1, ""price"", $A$2, TODAY()), 2, FALSE), """")"),52.66)</f>
        <v>52.66</v>
      </c>
      <c r="F110" s="18">
        <f>IFERROR(__xludf.DUMMYFUNCTION("IFERROR(VLOOKUP($A110, GOOGLEFINANCE(F$1, ""price"", $A$2, TODAY()), 2, FALSE), """")"),107.76)</f>
        <v>107.76</v>
      </c>
      <c r="G110" s="18">
        <f>IFERROR(__xludf.DUMMYFUNCTION("IFERROR(VLOOKUP($A110, GOOGLEFINANCE(G$1, ""price"", $A$2, TODAY()), 2, FALSE), """")"),136.71)</f>
        <v>136.71</v>
      </c>
      <c r="H110" s="18">
        <f>IFERROR(__xludf.DUMMYFUNCTION("IFERROR(VLOOKUP($A110, GOOGLEFINANCE(H$1, ""price"", $A$2, TODAY()), 2, FALSE), """")"),81.98)</f>
        <v>81.98</v>
      </c>
      <c r="I110" s="18">
        <f>IFERROR(__xludf.DUMMYFUNCTION("IFERROR(VLOOKUP($A110, GOOGLEFINANCE(I$1, ""price"", $A$2, TODAY()), 2, FALSE), """")"),148.01)</f>
        <v>148.01</v>
      </c>
      <c r="J110" s="18">
        <f>IFERROR(__xludf.DUMMYFUNCTION("IFERROR(VLOOKUP($A110, GOOGLEFINANCE(J$1, ""price"", $A$2, TODAY()), 2, FALSE), """")"),42.73)</f>
        <v>42.73</v>
      </c>
      <c r="K110" s="18">
        <f>IFERROR(__xludf.DUMMYFUNCTION("IFERROR(VLOOKUP($A110, GOOGLEFINANCE(K$1, ""price"", $A$2, TODAY()), 2, FALSE), """")"),45.04)</f>
        <v>45.04</v>
      </c>
      <c r="L110" s="18">
        <f>IFERROR(__xludf.DUMMYFUNCTION("IFERROR(VLOOKUP($A110, GOOGLEFINANCE(L$1, ""price"", $A$2, TODAY()), 2, FALSE), """")"),40.97)</f>
        <v>40.97</v>
      </c>
      <c r="M110" s="196">
        <f>IFERROR(__xludf.DUMMYFUNCTION("IFERROR(VLOOKUP($A110, GOOGLEFINANCE(M$1, ""price"", $A$2, TODAY()), 2, FALSE), """")"),41.7)</f>
        <v>41.7</v>
      </c>
      <c r="O110" s="18">
        <v>0.20317331822229417</v>
      </c>
      <c r="P110" s="18">
        <v>0.1766858253055938</v>
      </c>
      <c r="Q110" s="18">
        <v>0.08525864162551607</v>
      </c>
      <c r="R110" s="18">
        <v>0.17446774062980655</v>
      </c>
      <c r="S110" s="18">
        <v>0.22133894600501905</v>
      </c>
      <c r="T110" s="18">
        <v>0.13272889176718208</v>
      </c>
      <c r="U110" s="18">
        <v>0.23963409698049057</v>
      </c>
      <c r="V110" s="18">
        <v>0.06918157532583177</v>
      </c>
      <c r="W110" s="18">
        <v>0.07292155751639277</v>
      </c>
      <c r="X110" s="18">
        <v>0.06633206508540436</v>
      </c>
      <c r="Y110" s="196">
        <v>0.06751396421921801</v>
      </c>
      <c r="AA110" s="18">
        <v>-0.01650371571668552</v>
      </c>
      <c r="AB110" s="18">
        <v>0.0071479369766975775</v>
      </c>
      <c r="AC110" s="18">
        <v>0.015391372000373105</v>
      </c>
      <c r="AD110" s="18">
        <v>0.01698429121461853</v>
      </c>
      <c r="AE110" s="18">
        <v>0.019475847987985517</v>
      </c>
      <c r="AF110" s="18">
        <v>0.024879883645479328</v>
      </c>
      <c r="AG110" s="18">
        <v>-0.002361210395964486</v>
      </c>
      <c r="AH110" s="18">
        <v>-0.01945369298572397</v>
      </c>
      <c r="AI110" s="18">
        <v>-0.008336736027891312</v>
      </c>
      <c r="AJ110" s="18">
        <v>0.01087151494987637</v>
      </c>
      <c r="AK110" s="18">
        <v>0.01769962586099516</v>
      </c>
    </row>
    <row r="111">
      <c r="A111" s="230">
        <f>IFERROR(__xludf.DUMMYFUNCTION("""COMPUTED_VALUE"""),45840.66666666667)</f>
        <v>45840.66667</v>
      </c>
      <c r="B111" s="18">
        <f>IFERROR(__xludf.DUMMYFUNCTION("""COMPUTED_VALUE"""),620.45)</f>
        <v>620.45</v>
      </c>
      <c r="C111" s="18">
        <f>IFERROR(__xludf.DUMMYFUNCTION("IFERROR(VLOOKUP($A111, GOOGLEFINANCE(C$1, ""price"", $A$2, TODAY()), 2, FALSE), """")"),126.81)</f>
        <v>126.81</v>
      </c>
      <c r="D111" s="18">
        <f>IFERROR(__xludf.DUMMYFUNCTION("IFERROR(VLOOKUP($A111, GOOGLEFINANCE(D$1, ""price"", $A$2, TODAY()), 2, FALSE), """")"),110.01)</f>
        <v>110.01</v>
      </c>
      <c r="E111" s="18">
        <f>IFERROR(__xludf.DUMMYFUNCTION("IFERROR(VLOOKUP($A111, GOOGLEFINANCE(E$1, ""price"", $A$2, TODAY()), 2, FALSE), """")"),52.62)</f>
        <v>52.62</v>
      </c>
      <c r="F111" s="18">
        <f>IFERROR(__xludf.DUMMYFUNCTION("IFERROR(VLOOKUP($A111, GOOGLEFINANCE(F$1, ""price"", $A$2, TODAY()), 2, FALSE), """")"),107.45)</f>
        <v>107.45</v>
      </c>
      <c r="G111" s="18">
        <f>IFERROR(__xludf.DUMMYFUNCTION("IFERROR(VLOOKUP($A111, GOOGLEFINANCE(G$1, ""price"", $A$2, TODAY()), 2, FALSE), """")"),135.36)</f>
        <v>135.36</v>
      </c>
      <c r="H111" s="18">
        <f>IFERROR(__xludf.DUMMYFUNCTION("IFERROR(VLOOKUP($A111, GOOGLEFINANCE(H$1, ""price"", $A$2, TODAY()), 2, FALSE), """")"),82.22)</f>
        <v>82.22</v>
      </c>
      <c r="I111" s="18">
        <f>IFERROR(__xludf.DUMMYFUNCTION("IFERROR(VLOOKUP($A111, GOOGLEFINANCE(I$1, ""price"", $A$2, TODAY()), 2, FALSE), """")"),148.16)</f>
        <v>148.16</v>
      </c>
      <c r="J111" s="18">
        <f>IFERROR(__xludf.DUMMYFUNCTION("IFERROR(VLOOKUP($A111, GOOGLEFINANCE(J$1, ""price"", $A$2, TODAY()), 2, FALSE), """")"),43.47)</f>
        <v>43.47</v>
      </c>
      <c r="K111" s="18">
        <f>IFERROR(__xludf.DUMMYFUNCTION("IFERROR(VLOOKUP($A111, GOOGLEFINANCE(K$1, ""price"", $A$2, TODAY()), 2, FALSE), """")"),45.72)</f>
        <v>45.72</v>
      </c>
      <c r="L111" s="18">
        <f>IFERROR(__xludf.DUMMYFUNCTION("IFERROR(VLOOKUP($A111, GOOGLEFINANCE(L$1, ""price"", $A$2, TODAY()), 2, FALSE), """")"),40.62)</f>
        <v>40.62</v>
      </c>
      <c r="M111" s="196">
        <f>IFERROR(__xludf.DUMMYFUNCTION("IFERROR(VLOOKUP($A111, GOOGLEFINANCE(M$1, ""price"", $A$2, TODAY()), 2, FALSE), """")"),41.78)</f>
        <v>41.78</v>
      </c>
      <c r="O111" s="18">
        <v>0.20438391490047544</v>
      </c>
      <c r="P111" s="18">
        <v>0.1773067934563623</v>
      </c>
      <c r="Q111" s="18">
        <v>0.08480941252316866</v>
      </c>
      <c r="R111" s="18">
        <v>0.17318075590297363</v>
      </c>
      <c r="S111" s="18">
        <v>0.21816423563542592</v>
      </c>
      <c r="T111" s="18">
        <v>0.13251672173422516</v>
      </c>
      <c r="U111" s="18">
        <v>0.23879442340236923</v>
      </c>
      <c r="V111" s="18">
        <v>0.07006205173664275</v>
      </c>
      <c r="W111" s="18">
        <v>0.07368845193005076</v>
      </c>
      <c r="X111" s="18">
        <v>0.06546861149165926</v>
      </c>
      <c r="Y111" s="196">
        <v>0.06733822225803852</v>
      </c>
      <c r="AA111" s="18">
        <v>-0.004533102786088095</v>
      </c>
      <c r="AB111" s="18">
        <v>0.002458555252151662</v>
      </c>
      <c r="AC111" s="18">
        <v>0.00693277452569574</v>
      </c>
      <c r="AD111" s="18">
        <v>0.015744898399240537</v>
      </c>
      <c r="AE111" s="18">
        <v>0.0015518041766597879</v>
      </c>
      <c r="AF111" s="18">
        <v>0.02245857225635306</v>
      </c>
      <c r="AG111" s="18">
        <v>-0.008608690104347172</v>
      </c>
      <c r="AH111" s="18">
        <v>-0.011804525178594205</v>
      </c>
      <c r="AI111" s="18">
        <v>-5.265065699096017E-4</v>
      </c>
      <c r="AJ111" s="18">
        <v>-0.007712122942354016</v>
      </c>
      <c r="AK111" s="18">
        <v>0.012775925343082584</v>
      </c>
    </row>
    <row r="112">
      <c r="A112" s="230">
        <f>IFERROR(__xludf.DUMMYFUNCTION("""COMPUTED_VALUE"""),45841.55208333333)</f>
        <v>45841.55208</v>
      </c>
      <c r="B112" s="18">
        <f>IFERROR(__xludf.DUMMYFUNCTION("""COMPUTED_VALUE"""),625.34)</f>
        <v>625.34</v>
      </c>
      <c r="C112" s="18">
        <f>IFERROR(__xludf.DUMMYFUNCTION("IFERROR(VLOOKUP($A112, GOOGLEFINANCE(C$1, ""price"", $A$2, TODAY()), 2, FALSE), """")"),128.48)</f>
        <v>128.48</v>
      </c>
      <c r="D112" s="18">
        <f>IFERROR(__xludf.DUMMYFUNCTION("IFERROR(VLOOKUP($A112, GOOGLEFINANCE(D$1, ""price"", $A$2, TODAY()), 2, FALSE), """")"),110.61)</f>
        <v>110.61</v>
      </c>
      <c r="E112" s="18">
        <f>IFERROR(__xludf.DUMMYFUNCTION("IFERROR(VLOOKUP($A112, GOOGLEFINANCE(E$1, ""price"", $A$2, TODAY()), 2, FALSE), """")"),53.19)</f>
        <v>53.19</v>
      </c>
      <c r="F112" s="18">
        <f>IFERROR(__xludf.DUMMYFUNCTION("IFERROR(VLOOKUP($A112, GOOGLEFINANCE(F$1, ""price"", $A$2, TODAY()), 2, FALSE), """")"),108.04)</f>
        <v>108.04</v>
      </c>
      <c r="G112" s="18">
        <f>IFERROR(__xludf.DUMMYFUNCTION("IFERROR(VLOOKUP($A112, GOOGLEFINANCE(G$1, ""price"", $A$2, TODAY()), 2, FALSE), """")"),135.5)</f>
        <v>135.5</v>
      </c>
      <c r="H112" s="18">
        <f>IFERROR(__xludf.DUMMYFUNCTION("IFERROR(VLOOKUP($A112, GOOGLEFINANCE(H$1, ""price"", $A$2, TODAY()), 2, FALSE), """")"),82.18)</f>
        <v>82.18</v>
      </c>
      <c r="I112" s="18">
        <f>IFERROR(__xludf.DUMMYFUNCTION("IFERROR(VLOOKUP($A112, GOOGLEFINANCE(I$1, ""price"", $A$2, TODAY()), 2, FALSE), """")"),149.42)</f>
        <v>149.42</v>
      </c>
      <c r="J112" s="18">
        <f>IFERROR(__xludf.DUMMYFUNCTION("IFERROR(VLOOKUP($A112, GOOGLEFINANCE(J$1, ""price"", $A$2, TODAY()), 2, FALSE), """")"),43.52)</f>
        <v>43.52</v>
      </c>
      <c r="K112" s="18">
        <f>IFERROR(__xludf.DUMMYFUNCTION("IFERROR(VLOOKUP($A112, GOOGLEFINANCE(K$1, ""price"", $A$2, TODAY()), 2, FALSE), """")"),45.69)</f>
        <v>45.69</v>
      </c>
      <c r="L112" s="18">
        <f>IFERROR(__xludf.DUMMYFUNCTION("IFERROR(VLOOKUP($A112, GOOGLEFINANCE(L$1, ""price"", $A$2, TODAY()), 2, FALSE), """")"),40.92)</f>
        <v>40.92</v>
      </c>
      <c r="M112" s="196">
        <f>IFERROR(__xludf.DUMMYFUNCTION("IFERROR(VLOOKUP($A112, GOOGLEFINANCE(M$1, ""price"", $A$2, TODAY()), 2, FALSE), """")"),41.8)</f>
        <v>41.8</v>
      </c>
      <c r="O112" s="18">
        <v>0.2054562318098954</v>
      </c>
      <c r="P112" s="18">
        <v>0.17687977740109379</v>
      </c>
      <c r="Q112" s="18">
        <v>0.08505772859564396</v>
      </c>
      <c r="R112" s="18">
        <v>0.1727700131128666</v>
      </c>
      <c r="S112" s="18">
        <v>0.21668212492404132</v>
      </c>
      <c r="T112" s="18">
        <v>0.13141650941887614</v>
      </c>
      <c r="U112" s="18">
        <v>0.23894201554354427</v>
      </c>
      <c r="V112" s="18">
        <v>0.06959414078741165</v>
      </c>
      <c r="W112" s="18">
        <v>0.07306425304634279</v>
      </c>
      <c r="X112" s="18">
        <v>0.06543640259698724</v>
      </c>
      <c r="Y112" s="196">
        <v>0.06684363706143857</v>
      </c>
      <c r="AA112" s="18">
        <v>0.0015368973758067561</v>
      </c>
      <c r="AB112" s="18">
        <v>-0.0037412682182973445</v>
      </c>
      <c r="AC112" s="18">
        <v>0.016942114777904527</v>
      </c>
      <c r="AD112" s="18">
        <v>0.016345963375586026</v>
      </c>
      <c r="AE112" s="18">
        <v>-4.6374180685959665E-4</v>
      </c>
      <c r="AF112" s="18">
        <v>0.0141562133869515</v>
      </c>
      <c r="AG112" s="18">
        <v>-0.007929296050165902</v>
      </c>
      <c r="AH112" s="18">
        <v>-0.02624415351479359</v>
      </c>
      <c r="AI112" s="18">
        <v>-0.004276016504364377</v>
      </c>
      <c r="AJ112" s="18">
        <v>-0.01024862023931139</v>
      </c>
      <c r="AK112" s="18">
        <v>0.002767114367436152</v>
      </c>
    </row>
    <row r="113">
      <c r="A113" s="230">
        <f>IFERROR(__xludf.DUMMYFUNCTION("""COMPUTED_VALUE"""),45845.66666666667)</f>
        <v>45845.66667</v>
      </c>
      <c r="B113" s="18">
        <f>IFERROR(__xludf.DUMMYFUNCTION("""COMPUTED_VALUE"""),620.68)</f>
        <v>620.68</v>
      </c>
      <c r="C113" s="18">
        <f>IFERROR(__xludf.DUMMYFUNCTION("IFERROR(VLOOKUP($A113, GOOGLEFINANCE(C$1, ""price"", $A$2, TODAY()), 2, FALSE), """")"),127.46)</f>
        <v>127.46</v>
      </c>
      <c r="D113" s="18">
        <f>IFERROR(__xludf.DUMMYFUNCTION("IFERROR(VLOOKUP($A113, GOOGLEFINANCE(D$1, ""price"", $A$2, TODAY()), 2, FALSE), """")"),109.2)</f>
        <v>109.2</v>
      </c>
      <c r="E113" s="18">
        <f>IFERROR(__xludf.DUMMYFUNCTION("IFERROR(VLOOKUP($A113, GOOGLEFINANCE(E$1, ""price"", $A$2, TODAY()), 2, FALSE), """")"),52.68)</f>
        <v>52.68</v>
      </c>
      <c r="F113" s="18">
        <f>IFERROR(__xludf.DUMMYFUNCTION("IFERROR(VLOOKUP($A113, GOOGLEFINANCE(F$1, ""price"", $A$2, TODAY()), 2, FALSE), """")"),107.0)</f>
        <v>107</v>
      </c>
      <c r="G113" s="18">
        <f>IFERROR(__xludf.DUMMYFUNCTION("IFERROR(VLOOKUP($A113, GOOGLEFINANCE(G$1, ""price"", $A$2, TODAY()), 2, FALSE), """")"),134.36)</f>
        <v>134.36</v>
      </c>
      <c r="H113" s="18">
        <f>IFERROR(__xludf.DUMMYFUNCTION("IFERROR(VLOOKUP($A113, GOOGLEFINANCE(H$1, ""price"", $A$2, TODAY()), 2, FALSE), """")"),82.11)</f>
        <v>82.11</v>
      </c>
      <c r="I113" s="18">
        <f>IFERROR(__xludf.DUMMYFUNCTION("IFERROR(VLOOKUP($A113, GOOGLEFINANCE(I$1, ""price"", $A$2, TODAY()), 2, FALSE), """")"),148.9)</f>
        <v>148.9</v>
      </c>
      <c r="J113" s="18">
        <f>IFERROR(__xludf.DUMMYFUNCTION("IFERROR(VLOOKUP($A113, GOOGLEFINANCE(J$1, ""price"", $A$2, TODAY()), 2, FALSE), """")"),43.1)</f>
        <v>43.1</v>
      </c>
      <c r="K113" s="18">
        <f>IFERROR(__xludf.DUMMYFUNCTION("IFERROR(VLOOKUP($A113, GOOGLEFINANCE(K$1, ""price"", $A$2, TODAY()), 2, FALSE), """")"),45.25)</f>
        <v>45.25</v>
      </c>
      <c r="L113" s="18">
        <f>IFERROR(__xludf.DUMMYFUNCTION("IFERROR(VLOOKUP($A113, GOOGLEFINANCE(L$1, ""price"", $A$2, TODAY()), 2, FALSE), """")"),41.01)</f>
        <v>41.01</v>
      </c>
      <c r="M113" s="196">
        <f>IFERROR(__xludf.DUMMYFUNCTION("IFERROR(VLOOKUP($A113, GOOGLEFINANCE(M$1, ""price"", $A$2, TODAY()), 2, FALSE), """")"),41.48)</f>
        <v>41.48</v>
      </c>
      <c r="O113" s="18">
        <v>0.2053554166398144</v>
      </c>
      <c r="P113" s="18">
        <v>0.17593607011664628</v>
      </c>
      <c r="Q113" s="18">
        <v>0.08487465360572276</v>
      </c>
      <c r="R113" s="18">
        <v>0.1723915705355417</v>
      </c>
      <c r="S113" s="18">
        <v>0.21647225623509703</v>
      </c>
      <c r="T113" s="18">
        <v>0.13229039118386288</v>
      </c>
      <c r="U113" s="18">
        <v>0.23989817619385193</v>
      </c>
      <c r="V113" s="18">
        <v>0.06943996906618548</v>
      </c>
      <c r="W113" s="18">
        <v>0.07290391183862861</v>
      </c>
      <c r="X113" s="18">
        <v>0.0660726944641361</v>
      </c>
      <c r="Y113" s="196">
        <v>0.06682992846555391</v>
      </c>
      <c r="AA113" s="18">
        <v>0.0038187910399190006</v>
      </c>
      <c r="AB113" s="18">
        <v>-0.010828615409144704</v>
      </c>
      <c r="AC113" s="18">
        <v>0.009144287714398347</v>
      </c>
      <c r="AD113" s="18">
        <v>0.00618381304354787</v>
      </c>
      <c r="AE113" s="18">
        <v>0.001659115887217455</v>
      </c>
      <c r="AF113" s="18">
        <v>0.021962899549819115</v>
      </c>
      <c r="AG113" s="18">
        <v>-0.00741156567326251</v>
      </c>
      <c r="AH113" s="18">
        <v>-0.015726246092482965</v>
      </c>
      <c r="AI113" s="18">
        <v>9.029478333013596E-4</v>
      </c>
      <c r="AJ113" s="18">
        <v>-0.0025880592380556067</v>
      </c>
      <c r="AK113" s="18">
        <v>-0.002245935374844965</v>
      </c>
    </row>
    <row r="114">
      <c r="A114" s="230">
        <f>IFERROR(__xludf.DUMMYFUNCTION("""COMPUTED_VALUE"""),45846.66666666667)</f>
        <v>45846.66667</v>
      </c>
      <c r="B114" s="18">
        <f>IFERROR(__xludf.DUMMYFUNCTION("""COMPUTED_VALUE"""),620.34)</f>
        <v>620.34</v>
      </c>
      <c r="C114" s="18">
        <f>IFERROR(__xludf.DUMMYFUNCTION("IFERROR(VLOOKUP($A114, GOOGLEFINANCE(C$1, ""price"", $A$2, TODAY()), 2, FALSE), """")"),128.15)</f>
        <v>128.15</v>
      </c>
      <c r="D114" s="18">
        <f>IFERROR(__xludf.DUMMYFUNCTION("IFERROR(VLOOKUP($A114, GOOGLEFINANCE(D$1, ""price"", $A$2, TODAY()), 2, FALSE), """")"),108.83)</f>
        <v>108.83</v>
      </c>
      <c r="E114" s="18">
        <f>IFERROR(__xludf.DUMMYFUNCTION("IFERROR(VLOOKUP($A114, GOOGLEFINANCE(E$1, ""price"", $A$2, TODAY()), 2, FALSE), """")"),52.21)</f>
        <v>52.21</v>
      </c>
      <c r="F114" s="18">
        <f>IFERROR(__xludf.DUMMYFUNCTION("IFERROR(VLOOKUP($A114, GOOGLEFINANCE(F$1, ""price"", $A$2, TODAY()), 2, FALSE), """")"),106.78)</f>
        <v>106.78</v>
      </c>
      <c r="G114" s="18">
        <f>IFERROR(__xludf.DUMMYFUNCTION("IFERROR(VLOOKUP($A114, GOOGLEFINANCE(G$1, ""price"", $A$2, TODAY()), 2, FALSE), """")"),134.97)</f>
        <v>134.97</v>
      </c>
      <c r="H114" s="18">
        <f>IFERROR(__xludf.DUMMYFUNCTION("IFERROR(VLOOKUP($A114, GOOGLEFINANCE(H$1, ""price"", $A$2, TODAY()), 2, FALSE), """")"),81.35)</f>
        <v>81.35</v>
      </c>
      <c r="I114" s="18">
        <f>IFERROR(__xludf.DUMMYFUNCTION("IFERROR(VLOOKUP($A114, GOOGLEFINANCE(I$1, ""price"", $A$2, TODAY()), 2, FALSE), """")"),148.86)</f>
        <v>148.86</v>
      </c>
      <c r="J114" s="18">
        <f>IFERROR(__xludf.DUMMYFUNCTION("IFERROR(VLOOKUP($A114, GOOGLEFINANCE(J$1, ""price"", $A$2, TODAY()), 2, FALSE), """")"),44.26)</f>
        <v>44.26</v>
      </c>
      <c r="K114" s="18">
        <f>IFERROR(__xludf.DUMMYFUNCTION("IFERROR(VLOOKUP($A114, GOOGLEFINANCE(K$1, ""price"", $A$2, TODAY()), 2, FALSE), """")"),45.62)</f>
        <v>45.62</v>
      </c>
      <c r="L114" s="18">
        <f>IFERROR(__xludf.DUMMYFUNCTION("IFERROR(VLOOKUP($A114, GOOGLEFINANCE(L$1, ""price"", $A$2, TODAY()), 2, FALSE), """")"),40.57)</f>
        <v>40.57</v>
      </c>
      <c r="M114" s="196">
        <f>IFERROR(__xludf.DUMMYFUNCTION("IFERROR(VLOOKUP($A114, GOOGLEFINANCE(M$1, ""price"", $A$2, TODAY()), 2, FALSE), """")"),41.42)</f>
        <v>41.42</v>
      </c>
      <c r="O114" s="18">
        <v>0.20658026243672825</v>
      </c>
      <c r="P114" s="18">
        <v>0.17543605119773026</v>
      </c>
      <c r="Q114" s="18">
        <v>0.08416352322919689</v>
      </c>
      <c r="R114" s="18">
        <v>0.1721314118064287</v>
      </c>
      <c r="S114" s="18">
        <v>0.21757423348486313</v>
      </c>
      <c r="T114" s="18">
        <v>0.13113776316213688</v>
      </c>
      <c r="U114" s="18">
        <v>0.2399651803849502</v>
      </c>
      <c r="V114" s="18">
        <v>0.07134797046780797</v>
      </c>
      <c r="W114" s="18">
        <v>0.07354031660057388</v>
      </c>
      <c r="X114" s="18">
        <v>0.0653996195634652</v>
      </c>
      <c r="Y114" s="196">
        <v>0.06676983589644389</v>
      </c>
      <c r="AA114" s="18">
        <v>-0.0033976079994874064</v>
      </c>
      <c r="AB114" s="18">
        <v>-0.003598823332518819</v>
      </c>
      <c r="AC114" s="18">
        <v>0.013775301874396018</v>
      </c>
      <c r="AD114" s="18">
        <v>0.010376795369860803</v>
      </c>
      <c r="AE114" s="18">
        <v>0.020826799549568342</v>
      </c>
      <c r="AF114" s="18">
        <v>0.018934032392804445</v>
      </c>
      <c r="AG114" s="18">
        <v>-0.003923556680725082</v>
      </c>
      <c r="AH114" s="18">
        <v>0.021833019034117163</v>
      </c>
      <c r="AI114" s="18">
        <v>0.02652843997938148</v>
      </c>
      <c r="AJ114" s="18">
        <v>-0.007616602067945455</v>
      </c>
      <c r="AK114" s="18">
        <v>0.005572154553705966</v>
      </c>
    </row>
    <row r="115">
      <c r="A115" s="230">
        <f>IFERROR(__xludf.DUMMYFUNCTION("""COMPUTED_VALUE"""),45847.66666666667)</f>
        <v>45847.66667</v>
      </c>
      <c r="B115" s="18">
        <f>IFERROR(__xludf.DUMMYFUNCTION("""COMPUTED_VALUE"""),624.06)</f>
        <v>624.06</v>
      </c>
      <c r="C115" s="18">
        <f>IFERROR(__xludf.DUMMYFUNCTION("IFERROR(VLOOKUP($A115, GOOGLEFINANCE(C$1, ""price"", $A$2, TODAY()), 2, FALSE), """")"),128.92)</f>
        <v>128.92</v>
      </c>
      <c r="D115" s="18">
        <f>IFERROR(__xludf.DUMMYFUNCTION("IFERROR(VLOOKUP($A115, GOOGLEFINANCE(D$1, ""price"", $A$2, TODAY()), 2, FALSE), """")"),109.48)</f>
        <v>109.48</v>
      </c>
      <c r="E115" s="18">
        <f>IFERROR(__xludf.DUMMYFUNCTION("IFERROR(VLOOKUP($A115, GOOGLEFINANCE(E$1, ""price"", $A$2, TODAY()), 2, FALSE), """")"),52.4)</f>
        <v>52.4</v>
      </c>
      <c r="F115" s="18">
        <f>IFERROR(__xludf.DUMMYFUNCTION("IFERROR(VLOOKUP($A115, GOOGLEFINANCE(F$1, ""price"", $A$2, TODAY()), 2, FALSE), """")"),107.06)</f>
        <v>107.06</v>
      </c>
      <c r="G115" s="18">
        <f>IFERROR(__xludf.DUMMYFUNCTION("IFERROR(VLOOKUP($A115, GOOGLEFINANCE(G$1, ""price"", $A$2, TODAY()), 2, FALSE), """")"),135.49)</f>
        <v>135.49</v>
      </c>
      <c r="H115" s="18">
        <f>IFERROR(__xludf.DUMMYFUNCTION("IFERROR(VLOOKUP($A115, GOOGLEFINANCE(H$1, ""price"", $A$2, TODAY()), 2, FALSE), """")"),80.82)</f>
        <v>80.82</v>
      </c>
      <c r="I115" s="18">
        <f>IFERROR(__xludf.DUMMYFUNCTION("IFERROR(VLOOKUP($A115, GOOGLEFINANCE(I$1, ""price"", $A$2, TODAY()), 2, FALSE), """")"),149.9)</f>
        <v>149.9</v>
      </c>
      <c r="J115" s="18">
        <f>IFERROR(__xludf.DUMMYFUNCTION("IFERROR(VLOOKUP($A115, GOOGLEFINANCE(J$1, ""price"", $A$2, TODAY()), 2, FALSE), """")"),44.03)</f>
        <v>44.03</v>
      </c>
      <c r="K115" s="18">
        <f>IFERROR(__xludf.DUMMYFUNCTION("IFERROR(VLOOKUP($A115, GOOGLEFINANCE(K$1, ""price"", $A$2, TODAY()), 2, FALSE), """")"),45.89)</f>
        <v>45.89</v>
      </c>
      <c r="L115" s="18">
        <f>IFERROR(__xludf.DUMMYFUNCTION("IFERROR(VLOOKUP($A115, GOOGLEFINANCE(L$1, ""price"", $A$2, TODAY()), 2, FALSE), """")"),40.95)</f>
        <v>40.95</v>
      </c>
      <c r="M115" s="196">
        <f>IFERROR(__xludf.DUMMYFUNCTION("IFERROR(VLOOKUP($A115, GOOGLEFINANCE(M$1, ""price"", $A$2, TODAY()), 2, FALSE), """")"),41.4)</f>
        <v>41.4</v>
      </c>
      <c r="O115" s="18">
        <v>0.20658270038137358</v>
      </c>
      <c r="P115" s="18">
        <v>0.1754318495016505</v>
      </c>
      <c r="Q115" s="18">
        <v>0.0839662852930808</v>
      </c>
      <c r="R115" s="18">
        <v>0.1715540172419319</v>
      </c>
      <c r="S115" s="18">
        <v>0.21711053424350227</v>
      </c>
      <c r="T115" s="18">
        <v>0.1295067781944044</v>
      </c>
      <c r="U115" s="18">
        <v>0.24020126269909947</v>
      </c>
      <c r="V115" s="18">
        <v>0.07055411338653335</v>
      </c>
      <c r="W115" s="18">
        <v>0.07353459603243279</v>
      </c>
      <c r="X115" s="18">
        <v>0.06561869051052785</v>
      </c>
      <c r="Y115" s="196">
        <v>0.06633977502163253</v>
      </c>
      <c r="AA115" s="18">
        <v>-0.0030687805793504497</v>
      </c>
      <c r="AB115" s="18">
        <v>-0.0021134582110416966</v>
      </c>
      <c r="AC115" s="18">
        <v>0.00775686609588333</v>
      </c>
      <c r="AD115" s="18">
        <v>0.007313033983244566</v>
      </c>
      <c r="AE115" s="18">
        <v>0.009495252778241925</v>
      </c>
      <c r="AF115" s="18">
        <v>0.006107294144506836</v>
      </c>
      <c r="AG115" s="18">
        <v>-0.003135215730125096</v>
      </c>
      <c r="AH115" s="18">
        <v>0.02255139675277107</v>
      </c>
      <c r="AI115" s="18">
        <v>0.02711491464231819</v>
      </c>
      <c r="AJ115" s="18">
        <v>-0.0014505365557850869</v>
      </c>
      <c r="AK115" s="18">
        <v>-0.008366514271947678</v>
      </c>
    </row>
    <row r="116">
      <c r="A116" s="230">
        <f>IFERROR(__xludf.DUMMYFUNCTION("""COMPUTED_VALUE"""),45848.66666666667)</f>
        <v>45848.66667</v>
      </c>
      <c r="B116" s="18">
        <f>IFERROR(__xludf.DUMMYFUNCTION("""COMPUTED_VALUE"""),625.82)</f>
        <v>625.82</v>
      </c>
      <c r="C116" s="18">
        <f>IFERROR(__xludf.DUMMYFUNCTION("IFERROR(VLOOKUP($A116, GOOGLEFINANCE(C$1, ""price"", $A$2, TODAY()), 2, FALSE), """")"),128.49)</f>
        <v>128.49</v>
      </c>
      <c r="D116" s="18">
        <f>IFERROR(__xludf.DUMMYFUNCTION("IFERROR(VLOOKUP($A116, GOOGLEFINANCE(D$1, ""price"", $A$2, TODAY()), 2, FALSE), """")"),110.69)</f>
        <v>110.69</v>
      </c>
      <c r="E116" s="18">
        <f>IFERROR(__xludf.DUMMYFUNCTION("IFERROR(VLOOKUP($A116, GOOGLEFINANCE(E$1, ""price"", $A$2, TODAY()), 2, FALSE), """")"),52.71)</f>
        <v>52.71</v>
      </c>
      <c r="F116" s="18">
        <f>IFERROR(__xludf.DUMMYFUNCTION("IFERROR(VLOOKUP($A116, GOOGLEFINANCE(F$1, ""price"", $A$2, TODAY()), 2, FALSE), """")"),106.7)</f>
        <v>106.7</v>
      </c>
      <c r="G116" s="18">
        <f>IFERROR(__xludf.DUMMYFUNCTION("IFERROR(VLOOKUP($A116, GOOGLEFINANCE(G$1, ""price"", $A$2, TODAY()), 2, FALSE), """")"),136.32)</f>
        <v>136.32</v>
      </c>
      <c r="H116" s="18">
        <f>IFERROR(__xludf.DUMMYFUNCTION("IFERROR(VLOOKUP($A116, GOOGLEFINANCE(H$1, ""price"", $A$2, TODAY()), 2, FALSE), """")"),81.11)</f>
        <v>81.11</v>
      </c>
      <c r="I116" s="18">
        <f>IFERROR(__xludf.DUMMYFUNCTION("IFERROR(VLOOKUP($A116, GOOGLEFINANCE(I$1, ""price"", $A$2, TODAY()), 2, FALSE), """")"),150.74)</f>
        <v>150.74</v>
      </c>
      <c r="J116" s="18">
        <f>IFERROR(__xludf.DUMMYFUNCTION("IFERROR(VLOOKUP($A116, GOOGLEFINANCE(J$1, ""price"", $A$2, TODAY()), 2, FALSE), """")"),44.37)</f>
        <v>44.37</v>
      </c>
      <c r="K116" s="18">
        <f>IFERROR(__xludf.DUMMYFUNCTION("IFERROR(VLOOKUP($A116, GOOGLEFINANCE(K$1, ""price"", $A$2, TODAY()), 2, FALSE), """")"),46.14)</f>
        <v>46.14</v>
      </c>
      <c r="L116" s="18">
        <f>IFERROR(__xludf.DUMMYFUNCTION("IFERROR(VLOOKUP($A116, GOOGLEFINANCE(L$1, ""price"", $A$2, TODAY()), 2, FALSE), """")"),41.29)</f>
        <v>41.29</v>
      </c>
      <c r="M116" s="196">
        <f>IFERROR(__xludf.DUMMYFUNCTION("IFERROR(VLOOKUP($A116, GOOGLEFINANCE(M$1, ""price"", $A$2, TODAY()), 2, FALSE), """")"),41.61)</f>
        <v>41.61</v>
      </c>
      <c r="O116" s="18">
        <v>0.20531462720910165</v>
      </c>
      <c r="P116" s="18">
        <v>0.17687194400945958</v>
      </c>
      <c r="Q116" s="18">
        <v>0.08422549614905243</v>
      </c>
      <c r="R116" s="18">
        <v>0.17049630884279823</v>
      </c>
      <c r="S116" s="18">
        <v>0.21782621200984306</v>
      </c>
      <c r="T116" s="18">
        <v>0.12960595698443642</v>
      </c>
      <c r="U116" s="18">
        <v>0.24086798120865424</v>
      </c>
      <c r="V116" s="18">
        <v>0.07089898053753474</v>
      </c>
      <c r="W116" s="18">
        <v>0.07372726982199354</v>
      </c>
      <c r="X116" s="18">
        <v>0.06597743760186635</v>
      </c>
      <c r="Y116" s="196">
        <v>0.06648876673803969</v>
      </c>
      <c r="AA116" s="18">
        <v>-0.012136685264657943</v>
      </c>
      <c r="AB116" s="18">
        <v>0.008833491196993837</v>
      </c>
      <c r="AC116" s="18">
        <v>0.00736965533138223</v>
      </c>
      <c r="AD116" s="18">
        <v>0.0037354874918540393</v>
      </c>
      <c r="AE116" s="18">
        <v>0.03076834079763291</v>
      </c>
      <c r="AF116" s="18">
        <v>0.0035473458822024018</v>
      </c>
      <c r="AG116" s="18">
        <v>-0.003460296981006694</v>
      </c>
      <c r="AH116" s="18">
        <v>0.027634335028694057</v>
      </c>
      <c r="AI116" s="18">
        <v>0.028741935992108836</v>
      </c>
      <c r="AJ116" s="18">
        <v>0.0059837317668398615</v>
      </c>
      <c r="AK116" s="18">
        <v>9.013677410940613E-4</v>
      </c>
    </row>
    <row r="117">
      <c r="A117" s="230">
        <f>IFERROR(__xludf.DUMMYFUNCTION("""COMPUTED_VALUE"""),45849.66666666667)</f>
        <v>45849.66667</v>
      </c>
      <c r="B117" s="18">
        <f>IFERROR(__xludf.DUMMYFUNCTION("""COMPUTED_VALUE"""),623.62)</f>
        <v>623.62</v>
      </c>
      <c r="C117" s="18">
        <f>IFERROR(__xludf.DUMMYFUNCTION("IFERROR(VLOOKUP($A117, GOOGLEFINANCE(C$1, ""price"", $A$2, TODAY()), 2, FALSE), """")"),127.93)</f>
        <v>127.93</v>
      </c>
      <c r="D117" s="18">
        <f>IFERROR(__xludf.DUMMYFUNCTION("IFERROR(VLOOKUP($A117, GOOGLEFINANCE(D$1, ""price"", $A$2, TODAY()), 2, FALSE), """")"),110.72)</f>
        <v>110.72</v>
      </c>
      <c r="E117" s="18">
        <f>IFERROR(__xludf.DUMMYFUNCTION("IFERROR(VLOOKUP($A117, GOOGLEFINANCE(E$1, ""price"", $A$2, TODAY()), 2, FALSE), """")"),52.16)</f>
        <v>52.16</v>
      </c>
      <c r="F117" s="18">
        <f>IFERROR(__xludf.DUMMYFUNCTION("IFERROR(VLOOKUP($A117, GOOGLEFINANCE(F$1, ""price"", $A$2, TODAY()), 2, FALSE), """")"),106.01)</f>
        <v>106.01</v>
      </c>
      <c r="G117" s="18">
        <f>IFERROR(__xludf.DUMMYFUNCTION("IFERROR(VLOOKUP($A117, GOOGLEFINANCE(G$1, ""price"", $A$2, TODAY()), 2, FALSE), """")"),135.19)</f>
        <v>135.19</v>
      </c>
      <c r="H117" s="18">
        <f>IFERROR(__xludf.DUMMYFUNCTION("IFERROR(VLOOKUP($A117, GOOGLEFINANCE(H$1, ""price"", $A$2, TODAY()), 2, FALSE), """")"),80.81)</f>
        <v>80.81</v>
      </c>
      <c r="I117" s="18">
        <f>IFERROR(__xludf.DUMMYFUNCTION("IFERROR(VLOOKUP($A117, GOOGLEFINANCE(I$1, ""price"", $A$2, TODAY()), 2, FALSE), """")"),150.2)</f>
        <v>150.2</v>
      </c>
      <c r="J117" s="18">
        <f>IFERROR(__xludf.DUMMYFUNCTION("IFERROR(VLOOKUP($A117, GOOGLEFINANCE(J$1, ""price"", $A$2, TODAY()), 2, FALSE), """")"),44.57)</f>
        <v>44.57</v>
      </c>
      <c r="K117" s="18">
        <f>IFERROR(__xludf.DUMMYFUNCTION("IFERROR(VLOOKUP($A117, GOOGLEFINANCE(K$1, ""price"", $A$2, TODAY()), 2, FALSE), """")"),45.76)</f>
        <v>45.76</v>
      </c>
      <c r="L117" s="18">
        <f>IFERROR(__xludf.DUMMYFUNCTION("IFERROR(VLOOKUP($A117, GOOGLEFINANCE(L$1, ""price"", $A$2, TODAY()), 2, FALSE), """")"),41.23)</f>
        <v>41.23</v>
      </c>
      <c r="M117" s="196">
        <f>IFERROR(__xludf.DUMMYFUNCTION("IFERROR(VLOOKUP($A117, GOOGLEFINANCE(M$1, ""price"", $A$2, TODAY()), 2, FALSE), """")"),41.57)</f>
        <v>41.57</v>
      </c>
      <c r="O117" s="18">
        <v>0.2051409512202944</v>
      </c>
      <c r="P117" s="18">
        <v>0.1775440171899554</v>
      </c>
      <c r="Q117" s="18">
        <v>0.08364067861838939</v>
      </c>
      <c r="R117" s="18">
        <v>0.1699913408806645</v>
      </c>
      <c r="S117" s="18">
        <v>0.21678265610467912</v>
      </c>
      <c r="T117" s="18">
        <v>0.12958211731503158</v>
      </c>
      <c r="U117" s="18">
        <v>0.24085180077611365</v>
      </c>
      <c r="V117" s="18">
        <v>0.07146980533016901</v>
      </c>
      <c r="W117" s="18">
        <v>0.07337801866521279</v>
      </c>
      <c r="X117" s="18">
        <v>0.06611397966710496</v>
      </c>
      <c r="Y117" s="196">
        <v>0.06665918347711748</v>
      </c>
      <c r="AA117" s="18">
        <v>-0.01309039350837582</v>
      </c>
      <c r="AB117" s="18">
        <v>0.0029982384379532157</v>
      </c>
      <c r="AC117" s="18">
        <v>-9.284909149444021E-4</v>
      </c>
      <c r="AD117" s="18">
        <v>0.0046441822194880356</v>
      </c>
      <c r="AE117" s="18">
        <v>0.031920959634212265</v>
      </c>
      <c r="AF117" s="18">
        <v>0.005354743288014996</v>
      </c>
      <c r="AG117" s="18">
        <v>-0.0020218332822302676</v>
      </c>
      <c r="AH117" s="18">
        <v>0.04357888387872211</v>
      </c>
      <c r="AI117" s="18">
        <v>0.020850741607498335</v>
      </c>
      <c r="AJ117" s="18">
        <v>-0.00926906973539332</v>
      </c>
      <c r="AK117" s="18">
        <v>-1.4411169767236665E-4</v>
      </c>
    </row>
    <row r="118">
      <c r="A118" s="230">
        <f>IFERROR(__xludf.DUMMYFUNCTION("""COMPUTED_VALUE"""),45852.66666666667)</f>
        <v>45852.66667</v>
      </c>
      <c r="B118" s="18">
        <f>IFERROR(__xludf.DUMMYFUNCTION("""COMPUTED_VALUE"""),624.81)</f>
        <v>624.81</v>
      </c>
      <c r="C118" s="18">
        <f>IFERROR(__xludf.DUMMYFUNCTION("IFERROR(VLOOKUP($A118, GOOGLEFINANCE(C$1, ""price"", $A$2, TODAY()), 2, FALSE), """")"),127.82)</f>
        <v>127.82</v>
      </c>
      <c r="D118" s="18">
        <f>IFERROR(__xludf.DUMMYFUNCTION("IFERROR(VLOOKUP($A118, GOOGLEFINANCE(D$1, ""price"", $A$2, TODAY()), 2, FALSE), """")"),111.13)</f>
        <v>111.13</v>
      </c>
      <c r="E118" s="18">
        <f>IFERROR(__xludf.DUMMYFUNCTION("IFERROR(VLOOKUP($A118, GOOGLEFINANCE(E$1, ""price"", $A$2, TODAY()), 2, FALSE), """")"),52.55)</f>
        <v>52.55</v>
      </c>
      <c r="F118" s="18">
        <f>IFERROR(__xludf.DUMMYFUNCTION("IFERROR(VLOOKUP($A118, GOOGLEFINANCE(F$1, ""price"", $A$2, TODAY()), 2, FALSE), """")"),107.05)</f>
        <v>107.05</v>
      </c>
      <c r="G118" s="18">
        <f>IFERROR(__xludf.DUMMYFUNCTION("IFERROR(VLOOKUP($A118, GOOGLEFINANCE(G$1, ""price"", $A$2, TODAY()), 2, FALSE), """")"),135.03)</f>
        <v>135.03</v>
      </c>
      <c r="H118" s="18">
        <f>IFERROR(__xludf.DUMMYFUNCTION("IFERROR(VLOOKUP($A118, GOOGLEFINANCE(H$1, ""price"", $A$2, TODAY()), 2, FALSE), """")"),80.88)</f>
        <v>80.88</v>
      </c>
      <c r="I118" s="18">
        <f>IFERROR(__xludf.DUMMYFUNCTION("IFERROR(VLOOKUP($A118, GOOGLEFINANCE(I$1, ""price"", $A$2, TODAY()), 2, FALSE), """")"),151.01)</f>
        <v>151.01</v>
      </c>
      <c r="J118" s="18">
        <f>IFERROR(__xludf.DUMMYFUNCTION("IFERROR(VLOOKUP($A118, GOOGLEFINANCE(J$1, ""price"", $A$2, TODAY()), 2, FALSE), """")"),44.08)</f>
        <v>44.08</v>
      </c>
      <c r="K118" s="18">
        <f>IFERROR(__xludf.DUMMYFUNCTION("IFERROR(VLOOKUP($A118, GOOGLEFINANCE(K$1, ""price"", $A$2, TODAY()), 2, FALSE), """")"),45.51)</f>
        <v>45.51</v>
      </c>
      <c r="L118" s="18">
        <f>IFERROR(__xludf.DUMMYFUNCTION("IFERROR(VLOOKUP($A118, GOOGLEFINANCE(L$1, ""price"", $A$2, TODAY()), 2, FALSE), """")"),41.39)</f>
        <v>41.39</v>
      </c>
      <c r="M118" s="196">
        <f>IFERROR(__xludf.DUMMYFUNCTION("IFERROR(VLOOKUP($A118, GOOGLEFINANCE(M$1, ""price"", $A$2, TODAY()), 2, FALSE), """")"),41.85)</f>
        <v>41.85</v>
      </c>
      <c r="O118" s="18">
        <v>0.2045741905539284</v>
      </c>
      <c r="P118" s="18">
        <v>0.17786207006930108</v>
      </c>
      <c r="Q118" s="18">
        <v>0.08410556809270019</v>
      </c>
      <c r="R118" s="18">
        <v>0.17133208495382599</v>
      </c>
      <c r="S118" s="18">
        <v>0.21611369856436358</v>
      </c>
      <c r="T118" s="18">
        <v>0.12944735199500648</v>
      </c>
      <c r="U118" s="18">
        <v>0.2416894735999744</v>
      </c>
      <c r="V118" s="18">
        <v>0.0705494470318977</v>
      </c>
      <c r="W118" s="18">
        <v>0.0728381427954098</v>
      </c>
      <c r="X118" s="18">
        <v>0.06624413821801828</v>
      </c>
      <c r="Y118" s="196">
        <v>0.06698036203005714</v>
      </c>
      <c r="AA118" s="18">
        <v>-0.015234161731790374</v>
      </c>
      <c r="AB118" s="18">
        <v>0.0020099793698991064</v>
      </c>
      <c r="AC118" s="18">
        <v>0.009411300814031076</v>
      </c>
      <c r="AD118" s="18">
        <v>0.0011009669772061859</v>
      </c>
      <c r="AE118" s="18">
        <v>0.036584104403958095</v>
      </c>
      <c r="AF118" s="18">
        <v>0.0063379267297258846</v>
      </c>
      <c r="AG118" s="18">
        <v>0.008675762083206529</v>
      </c>
      <c r="AH118" s="18">
        <v>0.04276858980362763</v>
      </c>
      <c r="AI118" s="18">
        <v>0.010111139070794195</v>
      </c>
      <c r="AJ118" s="18">
        <v>-0.008514001729508447</v>
      </c>
      <c r="AK118" s="18">
        <v>0.002743862705691047</v>
      </c>
    </row>
    <row r="119">
      <c r="A119" s="230">
        <f>IFERROR(__xludf.DUMMYFUNCTION("""COMPUTED_VALUE"""),45853.66666666667)</f>
        <v>45853.66667</v>
      </c>
      <c r="B119" s="18">
        <f>IFERROR(__xludf.DUMMYFUNCTION("""COMPUTED_VALUE"""),622.14)</f>
        <v>622.14</v>
      </c>
      <c r="C119" s="18">
        <f>IFERROR(__xludf.DUMMYFUNCTION("IFERROR(VLOOKUP($A119, GOOGLEFINANCE(C$1, ""price"", $A$2, TODAY()), 2, FALSE), """")"),128.96)</f>
        <v>128.96</v>
      </c>
      <c r="D119" s="18">
        <f>IFERROR(__xludf.DUMMYFUNCTION("IFERROR(VLOOKUP($A119, GOOGLEFINANCE(D$1, ""price"", $A$2, TODAY()), 2, FALSE), """")"),109.54)</f>
        <v>109.54</v>
      </c>
      <c r="E119" s="18">
        <f>IFERROR(__xludf.DUMMYFUNCTION("IFERROR(VLOOKUP($A119, GOOGLEFINANCE(E$1, ""price"", $A$2, TODAY()), 2, FALSE), """")"),51.65)</f>
        <v>51.65</v>
      </c>
      <c r="F119" s="18">
        <f>IFERROR(__xludf.DUMMYFUNCTION("IFERROR(VLOOKUP($A119, GOOGLEFINANCE(F$1, ""price"", $A$2, TODAY()), 2, FALSE), """")"),105.99)</f>
        <v>105.99</v>
      </c>
      <c r="G119" s="18">
        <f>IFERROR(__xludf.DUMMYFUNCTION("IFERROR(VLOOKUP($A119, GOOGLEFINANCE(G$1, ""price"", $A$2, TODAY()), 2, FALSE), """")"),132.6)</f>
        <v>132.6</v>
      </c>
      <c r="H119" s="18">
        <f>IFERROR(__xludf.DUMMYFUNCTION("IFERROR(VLOOKUP($A119, GOOGLEFINANCE(H$1, ""price"", $A$2, TODAY()), 2, FALSE), """")"),80.07)</f>
        <v>80.07</v>
      </c>
      <c r="I119" s="18">
        <f>IFERROR(__xludf.DUMMYFUNCTION("IFERROR(VLOOKUP($A119, GOOGLEFINANCE(I$1, ""price"", $A$2, TODAY()), 2, FALSE), """")"),149.88)</f>
        <v>149.88</v>
      </c>
      <c r="J119" s="18">
        <f>IFERROR(__xludf.DUMMYFUNCTION("IFERROR(VLOOKUP($A119, GOOGLEFINANCE(J$1, ""price"", $A$2, TODAY()), 2, FALSE), """")"),43.44)</f>
        <v>43.44</v>
      </c>
      <c r="K119" s="18">
        <f>IFERROR(__xludf.DUMMYFUNCTION("IFERROR(VLOOKUP($A119, GOOGLEFINANCE(K$1, ""price"", $A$2, TODAY()), 2, FALSE), """")"),44.57)</f>
        <v>44.57</v>
      </c>
      <c r="L119" s="18">
        <f>IFERROR(__xludf.DUMMYFUNCTION("IFERROR(VLOOKUP($A119, GOOGLEFINANCE(L$1, ""price"", $A$2, TODAY()), 2, FALSE), """")"),41.0)</f>
        <v>41</v>
      </c>
      <c r="M119" s="196">
        <f>IFERROR(__xludf.DUMMYFUNCTION("IFERROR(VLOOKUP($A119, GOOGLEFINANCE(M$1, ""price"", $A$2, TODAY()), 2, FALSE), """")"),41.31)</f>
        <v>41.31</v>
      </c>
      <c r="O119" s="18">
        <v>0.20728453402771083</v>
      </c>
      <c r="P119" s="18">
        <v>0.17606969492397212</v>
      </c>
      <c r="Q119" s="18">
        <v>0.08301989905808982</v>
      </c>
      <c r="R119" s="18">
        <v>0.17036358375928248</v>
      </c>
      <c r="S119" s="18">
        <v>0.21313530716558973</v>
      </c>
      <c r="T119" s="18">
        <v>0.12870093548075995</v>
      </c>
      <c r="U119" s="18">
        <v>0.2409104060179381</v>
      </c>
      <c r="V119" s="18">
        <v>0.06982351239270904</v>
      </c>
      <c r="W119" s="18">
        <v>0.07163982383386376</v>
      </c>
      <c r="X119" s="18">
        <v>0.06590156556402096</v>
      </c>
      <c r="Y119" s="196">
        <v>0.06639984569389527</v>
      </c>
      <c r="AA119" s="18">
        <v>0.007286547165336943</v>
      </c>
      <c r="AB119" s="18">
        <v>-0.01788905135808838</v>
      </c>
      <c r="AC119" s="18">
        <v>-0.008961774455763738</v>
      </c>
      <c r="AD119" s="18">
        <v>-0.006723129215071566</v>
      </c>
      <c r="AE119" s="18">
        <v>0.003761471310961939</v>
      </c>
      <c r="AF119" s="18">
        <v>-0.008394140082936818</v>
      </c>
      <c r="AG119" s="18">
        <v>0.003171221880814201</v>
      </c>
      <c r="AH119" s="18">
        <v>0.02735643433034629</v>
      </c>
      <c r="AI119" s="18">
        <v>-0.01998217062946328</v>
      </c>
      <c r="AJ119" s="18">
        <v>-0.025561755923107943</v>
      </c>
      <c r="AK119" s="18">
        <v>-0.022789446218979936</v>
      </c>
    </row>
    <row r="120">
      <c r="A120" s="230">
        <f>IFERROR(__xludf.DUMMYFUNCTION("""COMPUTED_VALUE"""),45854.66666666667)</f>
        <v>45854.66667</v>
      </c>
      <c r="B120" s="18">
        <f>IFERROR(__xludf.DUMMYFUNCTION("""COMPUTED_VALUE"""),624.22)</f>
        <v>624.22</v>
      </c>
      <c r="C120" s="18">
        <f>IFERROR(__xludf.DUMMYFUNCTION("IFERROR(VLOOKUP($A120, GOOGLEFINANCE(C$1, ""price"", $A$2, TODAY()), 2, FALSE), """")"),129.35)</f>
        <v>129.35</v>
      </c>
      <c r="D120" s="18">
        <f>IFERROR(__xludf.DUMMYFUNCTION("IFERROR(VLOOKUP($A120, GOOGLEFINANCE(D$1, ""price"", $A$2, TODAY()), 2, FALSE), """")"),109.74)</f>
        <v>109.74</v>
      </c>
      <c r="E120" s="18">
        <f>IFERROR(__xludf.DUMMYFUNCTION("IFERROR(VLOOKUP($A120, GOOGLEFINANCE(E$1, ""price"", $A$2, TODAY()), 2, FALSE), """")"),52.01)</f>
        <v>52.01</v>
      </c>
      <c r="F120" s="18">
        <f>IFERROR(__xludf.DUMMYFUNCTION("IFERROR(VLOOKUP($A120, GOOGLEFINANCE(F$1, ""price"", $A$2, TODAY()), 2, FALSE), """")"),106.31)</f>
        <v>106.31</v>
      </c>
      <c r="G120" s="18">
        <f>IFERROR(__xludf.DUMMYFUNCTION("IFERROR(VLOOKUP($A120, GOOGLEFINANCE(G$1, ""price"", $A$2, TODAY()), 2, FALSE), """")"),134.25)</f>
        <v>134.25</v>
      </c>
      <c r="H120" s="18">
        <f>IFERROR(__xludf.DUMMYFUNCTION("IFERROR(VLOOKUP($A120, GOOGLEFINANCE(H$1, ""price"", $A$2, TODAY()), 2, FALSE), """")"),80.35)</f>
        <v>80.35</v>
      </c>
      <c r="I120" s="18">
        <f>IFERROR(__xludf.DUMMYFUNCTION("IFERROR(VLOOKUP($A120, GOOGLEFINANCE(I$1, ""price"", $A$2, TODAY()), 2, FALSE), """")"),150.41)</f>
        <v>150.41</v>
      </c>
      <c r="J120" s="18">
        <f>IFERROR(__xludf.DUMMYFUNCTION("IFERROR(VLOOKUP($A120, GOOGLEFINANCE(J$1, ""price"", $A$2, TODAY()), 2, FALSE), """")"),43.07)</f>
        <v>43.07</v>
      </c>
      <c r="K120" s="18">
        <f>IFERROR(__xludf.DUMMYFUNCTION("IFERROR(VLOOKUP($A120, GOOGLEFINANCE(K$1, ""price"", $A$2, TODAY()), 2, FALSE), """")"),44.69)</f>
        <v>44.69</v>
      </c>
      <c r="L120" s="18">
        <f>IFERROR(__xludf.DUMMYFUNCTION("IFERROR(VLOOKUP($A120, GOOGLEFINANCE(L$1, ""price"", $A$2, TODAY()), 2, FALSE), """")"),41.02)</f>
        <v>41.02</v>
      </c>
      <c r="M120" s="196">
        <f>IFERROR(__xludf.DUMMYFUNCTION("IFERROR(VLOOKUP($A120, GOOGLEFINANCE(M$1, ""price"", $A$2, TODAY()), 2, FALSE), """")"),41.76)</f>
        <v>41.76</v>
      </c>
      <c r="O120" s="18">
        <v>0.2072186088238121</v>
      </c>
      <c r="P120" s="18">
        <v>0.17580340264650282</v>
      </c>
      <c r="Q120" s="18">
        <v>0.08331998333920733</v>
      </c>
      <c r="R120" s="18">
        <v>0.17030854506424017</v>
      </c>
      <c r="S120" s="18">
        <v>0.21506840536990163</v>
      </c>
      <c r="T120" s="18">
        <v>0.12872064336291691</v>
      </c>
      <c r="U120" s="18">
        <v>0.24095671397904583</v>
      </c>
      <c r="V120" s="18">
        <v>0.06899810964083175</v>
      </c>
      <c r="W120" s="18">
        <v>0.07159334849892665</v>
      </c>
      <c r="X120" s="18">
        <v>0.06571401108583512</v>
      </c>
      <c r="Y120" s="196">
        <v>0.06689949056422415</v>
      </c>
      <c r="AA120" s="18">
        <v>0.009758846731846793</v>
      </c>
      <c r="AB120" s="18">
        <v>-0.015746151196693425</v>
      </c>
      <c r="AC120" s="18">
        <v>-0.004851852475354468</v>
      </c>
      <c r="AD120" s="18">
        <v>-0.004044422635391731</v>
      </c>
      <c r="AE120" s="18">
        <v>9.432257257304677E-4</v>
      </c>
      <c r="AF120" s="18">
        <v>-1.7245282063016454E-4</v>
      </c>
      <c r="AG120" s="18">
        <v>-0.005937958936767851</v>
      </c>
      <c r="AH120" s="18">
        <v>0.008046328387742774</v>
      </c>
      <c r="AI120" s="18">
        <v>-0.015498318484295837</v>
      </c>
      <c r="AJ120" s="18">
        <v>-0.01263958846843194</v>
      </c>
      <c r="AK120" s="18">
        <v>-0.009840702199846119</v>
      </c>
    </row>
    <row r="121">
      <c r="A121" s="230">
        <f>IFERROR(__xludf.DUMMYFUNCTION("""COMPUTED_VALUE"""),45855.66666666667)</f>
        <v>45855.66667</v>
      </c>
      <c r="B121" s="18">
        <f>IFERROR(__xludf.DUMMYFUNCTION("""COMPUTED_VALUE"""),628.04)</f>
        <v>628.04</v>
      </c>
      <c r="C121" s="18">
        <f>IFERROR(__xludf.DUMMYFUNCTION("IFERROR(VLOOKUP($A121, GOOGLEFINANCE(C$1, ""price"", $A$2, TODAY()), 2, FALSE), """")"),130.53)</f>
        <v>130.53</v>
      </c>
      <c r="D121" s="18">
        <f>IFERROR(__xludf.DUMMYFUNCTION("IFERROR(VLOOKUP($A121, GOOGLEFINANCE(D$1, ""price"", $A$2, TODAY()), 2, FALSE), """")"),110.11)</f>
        <v>110.11</v>
      </c>
      <c r="E121" s="18">
        <f>IFERROR(__xludf.DUMMYFUNCTION("IFERROR(VLOOKUP($A121, GOOGLEFINANCE(E$1, ""price"", $A$2, TODAY()), 2, FALSE), """")"),52.51)</f>
        <v>52.51</v>
      </c>
      <c r="F121" s="18">
        <f>IFERROR(__xludf.DUMMYFUNCTION("IFERROR(VLOOKUP($A121, GOOGLEFINANCE(F$1, ""price"", $A$2, TODAY()), 2, FALSE), """")"),106.68)</f>
        <v>106.68</v>
      </c>
      <c r="G121" s="18">
        <f>IFERROR(__xludf.DUMMYFUNCTION("IFERROR(VLOOKUP($A121, GOOGLEFINANCE(G$1, ""price"", $A$2, TODAY()), 2, FALSE), """")"),132.72)</f>
        <v>132.72</v>
      </c>
      <c r="H121" s="18">
        <f>IFERROR(__xludf.DUMMYFUNCTION("IFERROR(VLOOKUP($A121, GOOGLEFINANCE(H$1, ""price"", $A$2, TODAY()), 2, FALSE), """")"),81.11)</f>
        <v>81.11</v>
      </c>
      <c r="I121" s="18">
        <f>IFERROR(__xludf.DUMMYFUNCTION("IFERROR(VLOOKUP($A121, GOOGLEFINANCE(I$1, ""price"", $A$2, TODAY()), 2, FALSE), """")"),151.8)</f>
        <v>151.8</v>
      </c>
      <c r="J121" s="18">
        <f>IFERROR(__xludf.DUMMYFUNCTION("IFERROR(VLOOKUP($A121, GOOGLEFINANCE(J$1, ""price"", $A$2, TODAY()), 2, FALSE), """")"),43.33)</f>
        <v>43.33</v>
      </c>
      <c r="K121" s="18">
        <f>IFERROR(__xludf.DUMMYFUNCTION("IFERROR(VLOOKUP($A121, GOOGLEFINANCE(K$1, ""price"", $A$2, TODAY()), 2, FALSE), """")"),45.01)</f>
        <v>45.01</v>
      </c>
      <c r="L121" s="18">
        <f>IFERROR(__xludf.DUMMYFUNCTION("IFERROR(VLOOKUP($A121, GOOGLEFINANCE(L$1, ""price"", $A$2, TODAY()), 2, FALSE), """")"),41.19)</f>
        <v>41.19</v>
      </c>
      <c r="M121" s="196">
        <f>IFERROR(__xludf.DUMMYFUNCTION("IFERROR(VLOOKUP($A121, GOOGLEFINANCE(M$1, ""price"", $A$2, TODAY()), 2, FALSE), """")"),41.72)</f>
        <v>41.72</v>
      </c>
      <c r="O121" s="18">
        <v>0.20783708044073626</v>
      </c>
      <c r="P121" s="18">
        <v>0.1753232278198841</v>
      </c>
      <c r="Q121" s="18">
        <v>0.08360932424686326</v>
      </c>
      <c r="R121" s="18">
        <v>0.16986179224253234</v>
      </c>
      <c r="S121" s="18">
        <v>0.2113241194828355</v>
      </c>
      <c r="T121" s="18">
        <v>0.1291478249793007</v>
      </c>
      <c r="U121" s="18">
        <v>0.24170435004139867</v>
      </c>
      <c r="V121" s="18">
        <v>0.06899242086491307</v>
      </c>
      <c r="W121" s="18">
        <v>0.07166740971912618</v>
      </c>
      <c r="X121" s="18">
        <v>0.06558499458633209</v>
      </c>
      <c r="Y121" s="196">
        <v>0.0664288898796255</v>
      </c>
      <c r="AA121" s="18">
        <v>0.008844686864666329</v>
      </c>
      <c r="AB121" s="18">
        <v>-0.0015389390171377526</v>
      </c>
      <c r="AC121" s="18">
        <v>-5.007068269269332E-4</v>
      </c>
      <c r="AD121" s="18">
        <v>-0.007974608906311631</v>
      </c>
      <c r="AE121" s="18">
        <v>-0.012461344414404163</v>
      </c>
      <c r="AF121" s="18">
        <v>0.0070546106608646575</v>
      </c>
      <c r="AG121" s="18">
        <v>-8.335586546938112E-4</v>
      </c>
      <c r="AH121" s="18">
        <v>0.0011475673631780037</v>
      </c>
      <c r="AI121" s="18">
        <v>-0.004003547119210693</v>
      </c>
      <c r="AJ121" s="18">
        <v>-0.012848582076849246</v>
      </c>
      <c r="AK121" s="18">
        <v>-0.015101277928674661</v>
      </c>
    </row>
    <row r="122">
      <c r="A122" s="230">
        <f>IFERROR(__xludf.DUMMYFUNCTION("""COMPUTED_VALUE"""),45856.66666666667)</f>
        <v>45856.66667</v>
      </c>
      <c r="B122" s="18">
        <f>IFERROR(__xludf.DUMMYFUNCTION("""COMPUTED_VALUE"""),627.58)</f>
        <v>627.58</v>
      </c>
      <c r="C122" s="18">
        <f>IFERROR(__xludf.DUMMYFUNCTION("IFERROR(VLOOKUP($A122, GOOGLEFINANCE(C$1, ""price"", $A$2, TODAY()), 2, FALSE), """")"),130.45)</f>
        <v>130.45</v>
      </c>
      <c r="D122" s="18">
        <f>IFERROR(__xludf.DUMMYFUNCTION("IFERROR(VLOOKUP($A122, GOOGLEFINANCE(D$1, ""price"", $A$2, TODAY()), 2, FALSE), """")"),111.09)</f>
        <v>111.09</v>
      </c>
      <c r="E122" s="18">
        <f>IFERROR(__xludf.DUMMYFUNCTION("IFERROR(VLOOKUP($A122, GOOGLEFINANCE(E$1, ""price"", $A$2, TODAY()), 2, FALSE), """")"),52.54)</f>
        <v>52.54</v>
      </c>
      <c r="F122" s="18">
        <f>IFERROR(__xludf.DUMMYFUNCTION("IFERROR(VLOOKUP($A122, GOOGLEFINANCE(F$1, ""price"", $A$2, TODAY()), 2, FALSE), """")"),106.19)</f>
        <v>106.19</v>
      </c>
      <c r="G122" s="18">
        <f>IFERROR(__xludf.DUMMYFUNCTION("IFERROR(VLOOKUP($A122, GOOGLEFINANCE(G$1, ""price"", $A$2, TODAY()), 2, FALSE), """")"),131.84)</f>
        <v>131.84</v>
      </c>
      <c r="H122" s="18">
        <f>IFERROR(__xludf.DUMMYFUNCTION("IFERROR(VLOOKUP($A122, GOOGLEFINANCE(H$1, ""price"", $A$2, TODAY()), 2, FALSE), """")"),80.89)</f>
        <v>80.89</v>
      </c>
      <c r="I122" s="18">
        <f>IFERROR(__xludf.DUMMYFUNCTION("IFERROR(VLOOKUP($A122, GOOGLEFINANCE(I$1, ""price"", $A$2, TODAY()), 2, FALSE), """")"),151.46)</f>
        <v>151.46</v>
      </c>
      <c r="J122" s="18">
        <f>IFERROR(__xludf.DUMMYFUNCTION("IFERROR(VLOOKUP($A122, GOOGLEFINANCE(J$1, ""price"", $A$2, TODAY()), 2, FALSE), """")"),42.98)</f>
        <v>42.98</v>
      </c>
      <c r="K122" s="18">
        <f>IFERROR(__xludf.DUMMYFUNCTION("IFERROR(VLOOKUP($A122, GOOGLEFINANCE(K$1, ""price"", $A$2, TODAY()), 2, FALSE), """")"),45.11)</f>
        <v>45.11</v>
      </c>
      <c r="L122" s="18">
        <f>IFERROR(__xludf.DUMMYFUNCTION("IFERROR(VLOOKUP($A122, GOOGLEFINANCE(L$1, ""price"", $A$2, TODAY()), 2, FALSE), """")"),41.88)</f>
        <v>41.88</v>
      </c>
      <c r="M122" s="196">
        <f>IFERROR(__xludf.DUMMYFUNCTION("IFERROR(VLOOKUP($A122, GOOGLEFINANCE(M$1, ""price"", $A$2, TODAY()), 2, FALSE), """")"),41.84)</f>
        <v>41.84</v>
      </c>
      <c r="O122" s="18">
        <v>0.2078619458873769</v>
      </c>
      <c r="P122" s="18">
        <v>0.1770132891424201</v>
      </c>
      <c r="Q122" s="18">
        <v>0.08371841040186111</v>
      </c>
      <c r="R122" s="18">
        <v>0.16920551961502914</v>
      </c>
      <c r="S122" s="18">
        <v>0.21007680295739187</v>
      </c>
      <c r="T122" s="18">
        <v>0.12889193409605149</v>
      </c>
      <c r="U122" s="18">
        <v>0.2413397495140062</v>
      </c>
      <c r="V122" s="18">
        <v>0.06848529271168614</v>
      </c>
      <c r="W122" s="18">
        <v>0.07187928232257242</v>
      </c>
      <c r="X122" s="18">
        <v>0.06673252812390452</v>
      </c>
      <c r="Y122" s="196">
        <v>0.06666879122980338</v>
      </c>
      <c r="AA122" s="18">
        <v>0.010907219273647462</v>
      </c>
      <c r="AB122" s="18">
        <v>0.0029808476755233126</v>
      </c>
      <c r="AC122" s="18">
        <v>-0.0019274089254170956</v>
      </c>
      <c r="AD122" s="18">
        <v>0.001680324723425608</v>
      </c>
      <c r="AE122" s="18">
        <v>-0.019343997917977918</v>
      </c>
      <c r="AF122" s="18">
        <v>0.007571180522630838</v>
      </c>
      <c r="AG122" s="18">
        <v>-0.007951774854033533</v>
      </c>
      <c r="AH122" s="18">
        <v>0.0018824336765841387</v>
      </c>
      <c r="AI122" s="18">
        <v>-0.008566989224704669</v>
      </c>
      <c r="AJ122" s="18">
        <v>0.006041023846180327</v>
      </c>
      <c r="AK122" s="18">
        <v>-0.007368850373738356</v>
      </c>
    </row>
    <row r="123">
      <c r="A123" s="230">
        <f>IFERROR(__xludf.DUMMYFUNCTION("""COMPUTED_VALUE"""),45859.66666666667)</f>
        <v>45859.66667</v>
      </c>
      <c r="B123" s="18">
        <f>IFERROR(__xludf.DUMMYFUNCTION("""COMPUTED_VALUE"""),628.77)</f>
        <v>628.77</v>
      </c>
      <c r="C123" s="18">
        <f>IFERROR(__xludf.DUMMYFUNCTION("IFERROR(VLOOKUP($A123, GOOGLEFINANCE(C$1, ""price"", $A$2, TODAY()), 2, FALSE), """")"),130.62)</f>
        <v>130.62</v>
      </c>
      <c r="D123" s="18">
        <f>IFERROR(__xludf.DUMMYFUNCTION("IFERROR(VLOOKUP($A123, GOOGLEFINANCE(D$1, ""price"", $A$2, TODAY()), 2, FALSE), """")"),111.61)</f>
        <v>111.61</v>
      </c>
      <c r="E123" s="18">
        <f>IFERROR(__xludf.DUMMYFUNCTION("IFERROR(VLOOKUP($A123, GOOGLEFINANCE(E$1, ""price"", $A$2, TODAY()), 2, FALSE), """")"),52.39)</f>
        <v>52.39</v>
      </c>
      <c r="F123" s="18">
        <f>IFERROR(__xludf.DUMMYFUNCTION("IFERROR(VLOOKUP($A123, GOOGLEFINANCE(F$1, ""price"", $A$2, TODAY()), 2, FALSE), """")"),107.61)</f>
        <v>107.61</v>
      </c>
      <c r="G123" s="18">
        <f>IFERROR(__xludf.DUMMYFUNCTION("IFERROR(VLOOKUP($A123, GOOGLEFINANCE(G$1, ""price"", $A$2, TODAY()), 2, FALSE), """")"),131.09)</f>
        <v>131.09</v>
      </c>
      <c r="H123" s="18">
        <f>IFERROR(__xludf.DUMMYFUNCTION("IFERROR(VLOOKUP($A123, GOOGLEFINANCE(H$1, ""price"", $A$2, TODAY()), 2, FALSE), """")"),80.88)</f>
        <v>80.88</v>
      </c>
      <c r="I123" s="18">
        <f>IFERROR(__xludf.DUMMYFUNCTION("IFERROR(VLOOKUP($A123, GOOGLEFINANCE(I$1, ""price"", $A$2, TODAY()), 2, FALSE), """")"),150.66)</f>
        <v>150.66</v>
      </c>
      <c r="J123" s="18">
        <f>IFERROR(__xludf.DUMMYFUNCTION("IFERROR(VLOOKUP($A123, GOOGLEFINANCE(J$1, ""price"", $A$2, TODAY()), 2, FALSE), """")"),42.54)</f>
        <v>42.54</v>
      </c>
      <c r="K123" s="18">
        <f>IFERROR(__xludf.DUMMYFUNCTION("IFERROR(VLOOKUP($A123, GOOGLEFINANCE(K$1, ""price"", $A$2, TODAY()), 2, FALSE), """")"),45.34)</f>
        <v>45.34</v>
      </c>
      <c r="L123" s="18">
        <f>IFERROR(__xludf.DUMMYFUNCTION("IFERROR(VLOOKUP($A123, GOOGLEFINANCE(L$1, ""price"", $A$2, TODAY()), 2, FALSE), """")"),42.01)</f>
        <v>42.01</v>
      </c>
      <c r="M123" s="196">
        <f>IFERROR(__xludf.DUMMYFUNCTION("IFERROR(VLOOKUP($A123, GOOGLEFINANCE(M$1, ""price"", $A$2, TODAY()), 2, FALSE), """")"),42.0)</f>
        <v>42</v>
      </c>
      <c r="O123" s="18">
        <v>0.2077389188415478</v>
      </c>
      <c r="P123" s="18">
        <v>0.17750528810216773</v>
      </c>
      <c r="Q123" s="18">
        <v>0.08332140528333096</v>
      </c>
      <c r="R123" s="18">
        <v>0.17114366143422874</v>
      </c>
      <c r="S123" s="18">
        <v>0.20848640997503062</v>
      </c>
      <c r="T123" s="18">
        <v>0.1286320912257264</v>
      </c>
      <c r="U123" s="18">
        <v>0.23961066844792214</v>
      </c>
      <c r="V123" s="18">
        <v>0.06765589961353118</v>
      </c>
      <c r="W123" s="18">
        <v>0.07210903828108849</v>
      </c>
      <c r="X123" s="18">
        <v>0.06681298408002927</v>
      </c>
      <c r="Y123" s="196">
        <v>0.06679708001335942</v>
      </c>
      <c r="AA123" s="18">
        <v>0.002099568062219559</v>
      </c>
      <c r="AB123" s="18">
        <v>-2.633459740497557E-4</v>
      </c>
      <c r="AC123" s="18">
        <v>1.386623638266471E-5</v>
      </c>
      <c r="AD123" s="18">
        <v>0.0183879270732219</v>
      </c>
      <c r="AE123" s="18">
        <v>-0.018454180135294318</v>
      </c>
      <c r="AF123" s="18">
        <v>0.015756560690728838</v>
      </c>
      <c r="AG123" s="18">
        <v>-0.012247626941819023</v>
      </c>
      <c r="AH123" s="18">
        <v>-0.021731017029680832</v>
      </c>
      <c r="AI123" s="18">
        <v>0.008987935912928346</v>
      </c>
      <c r="AJ123" s="18">
        <v>0.01783932264850141</v>
      </c>
      <c r="AK123" s="18">
        <v>0.011789111622096504</v>
      </c>
    </row>
    <row r="124">
      <c r="A124" s="230">
        <f>IFERROR(__xludf.DUMMYFUNCTION("""COMPUTED_VALUE"""),45860.66666666667)</f>
        <v>45860.66667</v>
      </c>
      <c r="B124" s="18">
        <f>IFERROR(__xludf.DUMMYFUNCTION("""COMPUTED_VALUE"""),628.86)</f>
        <v>628.86</v>
      </c>
      <c r="C124" s="18">
        <f>IFERROR(__xludf.DUMMYFUNCTION("IFERROR(VLOOKUP($A124, GOOGLEFINANCE(C$1, ""price"", $A$2, TODAY()), 2, FALSE), """")"),129.41)</f>
        <v>129.41</v>
      </c>
      <c r="D124" s="18">
        <f>IFERROR(__xludf.DUMMYFUNCTION("IFERROR(VLOOKUP($A124, GOOGLEFINANCE(D$1, ""price"", $A$2, TODAY()), 2, FALSE), """")"),112.74)</f>
        <v>112.74</v>
      </c>
      <c r="E124" s="18">
        <f>IFERROR(__xludf.DUMMYFUNCTION("IFERROR(VLOOKUP($A124, GOOGLEFINANCE(E$1, ""price"", $A$2, TODAY()), 2, FALSE), """")"),52.68)</f>
        <v>52.68</v>
      </c>
      <c r="F124" s="18">
        <f>IFERROR(__xludf.DUMMYFUNCTION("IFERROR(VLOOKUP($A124, GOOGLEFINANCE(F$1, ""price"", $A$2, TODAY()), 2, FALSE), """")"),107.86)</f>
        <v>107.86</v>
      </c>
      <c r="G124" s="18">
        <f>IFERROR(__xludf.DUMMYFUNCTION("IFERROR(VLOOKUP($A124, GOOGLEFINANCE(G$1, ""price"", $A$2, TODAY()), 2, FALSE), """")"),133.53)</f>
        <v>133.53</v>
      </c>
      <c r="H124" s="18">
        <f>IFERROR(__xludf.DUMMYFUNCTION("IFERROR(VLOOKUP($A124, GOOGLEFINANCE(H$1, ""price"", $A$2, TODAY()), 2, FALSE), """")"),81.62)</f>
        <v>81.62</v>
      </c>
      <c r="I124" s="18">
        <f>IFERROR(__xludf.DUMMYFUNCTION("IFERROR(VLOOKUP($A124, GOOGLEFINANCE(I$1, ""price"", $A$2, TODAY()), 2, FALSE), """")"),151.02)</f>
        <v>151.02</v>
      </c>
      <c r="J124" s="18">
        <f>IFERROR(__xludf.DUMMYFUNCTION("IFERROR(VLOOKUP($A124, GOOGLEFINANCE(J$1, ""price"", $A$2, TODAY()), 2, FALSE), """")"),42.74)</f>
        <v>42.74</v>
      </c>
      <c r="K124" s="18">
        <f>IFERROR(__xludf.DUMMYFUNCTION("IFERROR(VLOOKUP($A124, GOOGLEFINANCE(K$1, ""price"", $A$2, TODAY()), 2, FALSE), """")"),45.97)</f>
        <v>45.97</v>
      </c>
      <c r="L124" s="18">
        <f>IFERROR(__xludf.DUMMYFUNCTION("IFERROR(VLOOKUP($A124, GOOGLEFINANCE(L$1, ""price"", $A$2, TODAY()), 2, FALSE), """")"),42.53)</f>
        <v>42.53</v>
      </c>
      <c r="M124" s="196">
        <f>IFERROR(__xludf.DUMMYFUNCTION("IFERROR(VLOOKUP($A124, GOOGLEFINANCE(M$1, ""price"", $A$2, TODAY()), 2, FALSE), """")"),42.73)</f>
        <v>42.73</v>
      </c>
      <c r="O124" s="18">
        <v>0.2057850713990395</v>
      </c>
      <c r="P124" s="18">
        <v>0.17927678656616733</v>
      </c>
      <c r="Q124" s="18">
        <v>0.08377063257322774</v>
      </c>
      <c r="R124" s="18">
        <v>0.17151671278185923</v>
      </c>
      <c r="S124" s="18">
        <v>0.2123366091021849</v>
      </c>
      <c r="T124" s="18">
        <v>0.12979041440066152</v>
      </c>
      <c r="U124" s="18">
        <v>0.24014884075946952</v>
      </c>
      <c r="V124" s="18">
        <v>0.06796425277486245</v>
      </c>
      <c r="W124" s="18">
        <v>0.07310053111980408</v>
      </c>
      <c r="X124" s="18">
        <v>0.06763031517348854</v>
      </c>
      <c r="Y124" s="196">
        <v>0.06794835098432082</v>
      </c>
      <c r="AA124" s="18">
        <v>-0.009943771153030578</v>
      </c>
      <c r="AB124" s="18">
        <v>0.014044799519396856</v>
      </c>
      <c r="AC124" s="18">
        <v>0.00788128879675476</v>
      </c>
      <c r="AD124" s="18">
        <v>0.02674054807579984</v>
      </c>
      <c r="AE124" s="18">
        <v>0.003414076458037485</v>
      </c>
      <c r="AF124" s="18">
        <v>0.015527265083929542</v>
      </c>
      <c r="AG124" s="18">
        <v>-0.0012638128912562108</v>
      </c>
      <c r="AH124" s="18">
        <v>-0.02933967585973185</v>
      </c>
      <c r="AI124" s="18">
        <v>0.024213572985591902</v>
      </c>
      <c r="AJ124" s="18">
        <v>0.0159100027692205</v>
      </c>
      <c r="AK124" s="18">
        <v>0.009704548451453743</v>
      </c>
    </row>
    <row r="125">
      <c r="A125" s="230">
        <f>IFERROR(__xludf.DUMMYFUNCTION("""COMPUTED_VALUE"""),45861.66666666667)</f>
        <v>45861.66667</v>
      </c>
      <c r="B125" s="18">
        <f>IFERROR(__xludf.DUMMYFUNCTION("""COMPUTED_VALUE"""),634.21)</f>
        <v>634.21</v>
      </c>
      <c r="C125" s="18">
        <f>IFERROR(__xludf.DUMMYFUNCTION("IFERROR(VLOOKUP($A125, GOOGLEFINANCE(C$1, ""price"", $A$2, TODAY()), 2, FALSE), """")"),130.15)</f>
        <v>130.15</v>
      </c>
      <c r="D125" s="18">
        <f>IFERROR(__xludf.DUMMYFUNCTION("IFERROR(VLOOKUP($A125, GOOGLEFINANCE(D$1, ""price"", $A$2, TODAY()), 2, FALSE), """")"),113.28)</f>
        <v>113.28</v>
      </c>
      <c r="E125" s="18">
        <f>IFERROR(__xludf.DUMMYFUNCTION("IFERROR(VLOOKUP($A125, GOOGLEFINANCE(E$1, ""price"", $A$2, TODAY()), 2, FALSE), """")"),53.1)</f>
        <v>53.1</v>
      </c>
      <c r="F125" s="18">
        <f>IFERROR(__xludf.DUMMYFUNCTION("IFERROR(VLOOKUP($A125, GOOGLEFINANCE(F$1, ""price"", $A$2, TODAY()), 2, FALSE), """")"),108.45)</f>
        <v>108.45</v>
      </c>
      <c r="G125" s="18">
        <f>IFERROR(__xludf.DUMMYFUNCTION("IFERROR(VLOOKUP($A125, GOOGLEFINANCE(G$1, ""price"", $A$2, TODAY()), 2, FALSE), """")"),136.27)</f>
        <v>136.27</v>
      </c>
      <c r="H125" s="18">
        <f>IFERROR(__xludf.DUMMYFUNCTION("IFERROR(VLOOKUP($A125, GOOGLEFINANCE(H$1, ""price"", $A$2, TODAY()), 2, FALSE), """")"),81.65)</f>
        <v>81.65</v>
      </c>
      <c r="I125" s="18">
        <f>IFERROR(__xludf.DUMMYFUNCTION("IFERROR(VLOOKUP($A125, GOOGLEFINANCE(I$1, ""price"", $A$2, TODAY()), 2, FALSE), """")"),153.73)</f>
        <v>153.73</v>
      </c>
      <c r="J125" s="18">
        <f>IFERROR(__xludf.DUMMYFUNCTION("IFERROR(VLOOKUP($A125, GOOGLEFINANCE(J$1, ""price"", $A$2, TODAY()), 2, FALSE), """")"),43.41)</f>
        <v>43.41</v>
      </c>
      <c r="K125" s="18">
        <f>IFERROR(__xludf.DUMMYFUNCTION("IFERROR(VLOOKUP($A125, GOOGLEFINANCE(K$1, ""price"", $A$2, TODAY()), 2, FALSE), """")"),46.12)</f>
        <v>46.12</v>
      </c>
      <c r="L125" s="18">
        <f>IFERROR(__xludf.DUMMYFUNCTION("IFERROR(VLOOKUP($A125, GOOGLEFINANCE(L$1, ""price"", $A$2, TODAY()), 2, FALSE), """")"),42.21)</f>
        <v>42.21</v>
      </c>
      <c r="M125" s="196">
        <f>IFERROR(__xludf.DUMMYFUNCTION("IFERROR(VLOOKUP($A125, GOOGLEFINANCE(M$1, ""price"", $A$2, TODAY()), 2, FALSE), """")"),42.85)</f>
        <v>42.85</v>
      </c>
      <c r="O125" s="18">
        <v>0.2052159379385377</v>
      </c>
      <c r="P125" s="18">
        <v>0.17861591586383058</v>
      </c>
      <c r="Q125" s="18">
        <v>0.08372621056117059</v>
      </c>
      <c r="R125" s="18">
        <v>0.17100014190883145</v>
      </c>
      <c r="S125" s="18">
        <v>0.21486573847779128</v>
      </c>
      <c r="T125" s="18">
        <v>0.12874284542974723</v>
      </c>
      <c r="U125" s="18">
        <v>0.2423960517809558</v>
      </c>
      <c r="V125" s="18">
        <v>0.06844735970735244</v>
      </c>
      <c r="W125" s="18">
        <v>0.07272039229908074</v>
      </c>
      <c r="X125" s="18">
        <v>0.06655524195455764</v>
      </c>
      <c r="Y125" s="196">
        <v>0.06756437142271488</v>
      </c>
      <c r="AA125" s="18">
        <v>-0.01616061671086111</v>
      </c>
      <c r="AB125" s="18">
        <v>0.015453888700411866</v>
      </c>
      <c r="AC125" s="18">
        <v>0.007987315989379518</v>
      </c>
      <c r="AD125" s="18">
        <v>0.019189760784191767</v>
      </c>
      <c r="AE125" s="18">
        <v>0.015900711190248717</v>
      </c>
      <c r="AF125" s="18">
        <v>0.015063821441002156</v>
      </c>
      <c r="AG125" s="18">
        <v>0.01178025666411342</v>
      </c>
      <c r="AH125" s="18">
        <v>-0.00941806934473488</v>
      </c>
      <c r="AI125" s="18">
        <v>0.03844654733456587</v>
      </c>
      <c r="AJ125" s="18">
        <v>-0.008996976989236294</v>
      </c>
      <c r="AK125" s="18">
        <v>0.01700809235719314</v>
      </c>
    </row>
    <row r="126">
      <c r="A126" s="230">
        <f>IFERROR(__xludf.DUMMYFUNCTION("""COMPUTED_VALUE"""),45862.66666666667)</f>
        <v>45862.66667</v>
      </c>
      <c r="B126" s="18">
        <f>IFERROR(__xludf.DUMMYFUNCTION("""COMPUTED_VALUE"""),634.42)</f>
        <v>634.42</v>
      </c>
      <c r="C126" s="18">
        <f>IFERROR(__xludf.DUMMYFUNCTION("IFERROR(VLOOKUP($A126, GOOGLEFINANCE(C$1, ""price"", $A$2, TODAY()), 2, FALSE), """")"),130.7)</f>
        <v>130.7</v>
      </c>
      <c r="D126" s="18">
        <f>IFERROR(__xludf.DUMMYFUNCTION("IFERROR(VLOOKUP($A126, GOOGLEFINANCE(D$1, ""price"", $A$2, TODAY()), 2, FALSE), """")"),111.4)</f>
        <v>111.4</v>
      </c>
      <c r="E126" s="18">
        <f>IFERROR(__xludf.DUMMYFUNCTION("IFERROR(VLOOKUP($A126, GOOGLEFINANCE(E$1, ""price"", $A$2, TODAY()), 2, FALSE), """")"),53.07)</f>
        <v>53.07</v>
      </c>
      <c r="F126" s="18">
        <f>IFERROR(__xludf.DUMMYFUNCTION("IFERROR(VLOOKUP($A126, GOOGLEFINANCE(F$1, ""price"", $A$2, TODAY()), 2, FALSE), """")"),108.63)</f>
        <v>108.63</v>
      </c>
      <c r="G126" s="18">
        <f>IFERROR(__xludf.DUMMYFUNCTION("IFERROR(VLOOKUP($A126, GOOGLEFINANCE(G$1, ""price"", $A$2, TODAY()), 2, FALSE), """")"),135.76)</f>
        <v>135.76</v>
      </c>
      <c r="H126" s="18">
        <f>IFERROR(__xludf.DUMMYFUNCTION("IFERROR(VLOOKUP($A126, GOOGLEFINANCE(H$1, ""price"", $A$2, TODAY()), 2, FALSE), """")"),81.36)</f>
        <v>81.36</v>
      </c>
      <c r="I126" s="18">
        <f>IFERROR(__xludf.DUMMYFUNCTION("IFERROR(VLOOKUP($A126, GOOGLEFINANCE(I$1, ""price"", $A$2, TODAY()), 2, FALSE), """")"),153.47)</f>
        <v>153.47</v>
      </c>
      <c r="J126" s="18">
        <f>IFERROR(__xludf.DUMMYFUNCTION("IFERROR(VLOOKUP($A126, GOOGLEFINANCE(J$1, ""price"", $A$2, TODAY()), 2, FALSE), """")"),43.72)</f>
        <v>43.72</v>
      </c>
      <c r="K126" s="18">
        <f>IFERROR(__xludf.DUMMYFUNCTION("IFERROR(VLOOKUP($A126, GOOGLEFINANCE(K$1, ""price"", $A$2, TODAY()), 2, FALSE), """")"),45.65)</f>
        <v>45.65</v>
      </c>
      <c r="L126" s="18">
        <f>IFERROR(__xludf.DUMMYFUNCTION("IFERROR(VLOOKUP($A126, GOOGLEFINANCE(L$1, ""price"", $A$2, TODAY()), 2, FALSE), """")"),42.15)</f>
        <v>42.15</v>
      </c>
      <c r="M126" s="196">
        <f>IFERROR(__xludf.DUMMYFUNCTION("IFERROR(VLOOKUP($A126, GOOGLEFINANCE(M$1, ""price"", $A$2, TODAY()), 2, FALSE), """")"),42.79)</f>
        <v>42.79</v>
      </c>
      <c r="O126" s="18">
        <v>0.20601494278238391</v>
      </c>
      <c r="P126" s="18">
        <v>0.17559345543961416</v>
      </c>
      <c r="Q126" s="18">
        <v>0.08365120897827938</v>
      </c>
      <c r="R126" s="18">
        <v>0.1712272626966363</v>
      </c>
      <c r="S126" s="18">
        <v>0.2139907316919391</v>
      </c>
      <c r="T126" s="18">
        <v>0.12824311969988336</v>
      </c>
      <c r="U126" s="18">
        <v>0.24190599287538225</v>
      </c>
      <c r="V126" s="18">
        <v>0.0689133381671448</v>
      </c>
      <c r="W126" s="18">
        <v>0.07195548690142177</v>
      </c>
      <c r="X126" s="18">
        <v>0.06643863686516818</v>
      </c>
      <c r="Y126" s="196">
        <v>0.06744743230036884</v>
      </c>
      <c r="AA126" s="18">
        <v>-0.008769696019721107</v>
      </c>
      <c r="AB126" s="18">
        <v>0.0024305573904563893</v>
      </c>
      <c r="AC126" s="18">
        <v>0.009628721997151812</v>
      </c>
      <c r="AD126" s="18">
        <v>0.007628043993016309</v>
      </c>
      <c r="AE126" s="18">
        <v>0.037025697215677944</v>
      </c>
      <c r="AF126" s="18">
        <v>0.016043007018078148</v>
      </c>
      <c r="AG126" s="18">
        <v>0.005880797162500118</v>
      </c>
      <c r="AH126" s="18">
        <v>-0.0011753545359116657</v>
      </c>
      <c r="AI126" s="18">
        <v>0.03673636108162004</v>
      </c>
      <c r="AJ126" s="18">
        <v>-0.01973544375033842</v>
      </c>
      <c r="AK126" s="18">
        <v>0.02951395818442748</v>
      </c>
    </row>
    <row r="127">
      <c r="A127" s="230">
        <f>IFERROR(__xludf.DUMMYFUNCTION("""COMPUTED_VALUE"""),45863.66666666667)</f>
        <v>45863.66667</v>
      </c>
      <c r="B127" s="18">
        <f>IFERROR(__xludf.DUMMYFUNCTION("""COMPUTED_VALUE"""),637.1)</f>
        <v>637.1</v>
      </c>
      <c r="C127" s="18">
        <f>IFERROR(__xludf.DUMMYFUNCTION("IFERROR(VLOOKUP($A127, GOOGLEFINANCE(C$1, ""price"", $A$2, TODAY()), 2, FALSE), """")"),131.0)</f>
        <v>131</v>
      </c>
      <c r="D127" s="18">
        <f>IFERROR(__xludf.DUMMYFUNCTION("IFERROR(VLOOKUP($A127, GOOGLEFINANCE(D$1, ""price"", $A$2, TODAY()), 2, FALSE), """")"),112.44)</f>
        <v>112.44</v>
      </c>
      <c r="E127" s="18">
        <f>IFERROR(__xludf.DUMMYFUNCTION("IFERROR(VLOOKUP($A127, GOOGLEFINANCE(E$1, ""price"", $A$2, TODAY()), 2, FALSE), """")"),53.44)</f>
        <v>53.44</v>
      </c>
      <c r="F127" s="18">
        <f>IFERROR(__xludf.DUMMYFUNCTION("IFERROR(VLOOKUP($A127, GOOGLEFINANCE(F$1, ""price"", $A$2, TODAY()), 2, FALSE), """")"),107.62)</f>
        <v>107.62</v>
      </c>
      <c r="G127" s="18">
        <f>IFERROR(__xludf.DUMMYFUNCTION("IFERROR(VLOOKUP($A127, GOOGLEFINANCE(G$1, ""price"", $A$2, TODAY()), 2, FALSE), """")"),136.48)</f>
        <v>136.48</v>
      </c>
      <c r="H127" s="18">
        <f>IFERROR(__xludf.DUMMYFUNCTION("IFERROR(VLOOKUP($A127, GOOGLEFINANCE(H$1, ""price"", $A$2, TODAY()), 2, FALSE), """")"),81.5)</f>
        <v>81.5</v>
      </c>
      <c r="I127" s="18">
        <f>IFERROR(__xludf.DUMMYFUNCTION("IFERROR(VLOOKUP($A127, GOOGLEFINANCE(I$1, ""price"", $A$2, TODAY()), 2, FALSE), """")"),154.99)</f>
        <v>154.99</v>
      </c>
      <c r="J127" s="18">
        <f>IFERROR(__xludf.DUMMYFUNCTION("IFERROR(VLOOKUP($A127, GOOGLEFINANCE(J$1, ""price"", $A$2, TODAY()), 2, FALSE), """")"),43.55)</f>
        <v>43.55</v>
      </c>
      <c r="K127" s="18">
        <f>IFERROR(__xludf.DUMMYFUNCTION("IFERROR(VLOOKUP($A127, GOOGLEFINANCE(K$1, ""price"", $A$2, TODAY()), 2, FALSE), """")"),46.19)</f>
        <v>46.19</v>
      </c>
      <c r="L127" s="18">
        <f>IFERROR(__xludf.DUMMYFUNCTION("IFERROR(VLOOKUP($A127, GOOGLEFINANCE(L$1, ""price"", $A$2, TODAY()), 2, FALSE), """")"),42.26)</f>
        <v>42.26</v>
      </c>
      <c r="M127" s="196">
        <f>IFERROR(__xludf.DUMMYFUNCTION("IFERROR(VLOOKUP($A127, GOOGLEFINANCE(M$1, ""price"", $A$2, TODAY()), 2, FALSE), """")"),42.79)</f>
        <v>42.79</v>
      </c>
      <c r="O127" s="18">
        <v>0.2056192120546225</v>
      </c>
      <c r="P127" s="18">
        <v>0.17648720765970805</v>
      </c>
      <c r="Q127" s="18">
        <v>0.0838800816198399</v>
      </c>
      <c r="R127" s="18">
        <v>0.16892167634594255</v>
      </c>
      <c r="S127" s="18">
        <v>0.2142206874901899</v>
      </c>
      <c r="T127" s="18">
        <v>0.12792340291947887</v>
      </c>
      <c r="U127" s="18">
        <v>0.24327421126981635</v>
      </c>
      <c r="V127" s="18">
        <v>0.06835661591586878</v>
      </c>
      <c r="W127" s="18">
        <v>0.07250039240307643</v>
      </c>
      <c r="X127" s="18">
        <v>0.06633181604143776</v>
      </c>
      <c r="Y127" s="196">
        <v>0.06716371056349081</v>
      </c>
      <c r="AA127" s="18">
        <v>-0.005464629542555555</v>
      </c>
      <c r="AB127" s="18">
        <v>0.015507882889344682</v>
      </c>
      <c r="AC127" s="18">
        <v>0.014589967795464176</v>
      </c>
      <c r="AD127" s="18">
        <v>-0.010346922184325202</v>
      </c>
      <c r="AE127" s="18">
        <v>0.015673650777098258</v>
      </c>
      <c r="AF127" s="18">
        <v>-0.00782761897332318</v>
      </c>
      <c r="AG127" s="18">
        <v>0.010073745363097464</v>
      </c>
      <c r="AH127" s="18">
        <v>-0.007040297962291109</v>
      </c>
      <c r="AI127" s="18">
        <v>0.039551290702045216</v>
      </c>
      <c r="AJ127" s="18">
        <v>-0.03869891213793275</v>
      </c>
      <c r="AK127" s="18">
        <v>0.011310780613550842</v>
      </c>
    </row>
    <row r="128">
      <c r="A128" s="230">
        <f>IFERROR(__xludf.DUMMYFUNCTION("""COMPUTED_VALUE"""),45866.66666666667)</f>
        <v>45866.66667</v>
      </c>
      <c r="B128" s="18">
        <f>IFERROR(__xludf.DUMMYFUNCTION("""COMPUTED_VALUE"""),636.94)</f>
        <v>636.94</v>
      </c>
      <c r="C128" s="18">
        <f>IFERROR(__xludf.DUMMYFUNCTION("IFERROR(VLOOKUP($A128, GOOGLEFINANCE(C$1, ""price"", $A$2, TODAY()), 2, FALSE), """")"),132.04)</f>
        <v>132.04</v>
      </c>
      <c r="D128" s="18">
        <f>IFERROR(__xludf.DUMMYFUNCTION("IFERROR(VLOOKUP($A128, GOOGLEFINANCE(D$1, ""price"", $A$2, TODAY()), 2, FALSE), """")"),113.09)</f>
        <v>113.09</v>
      </c>
      <c r="E128" s="18">
        <f>IFERROR(__xludf.DUMMYFUNCTION("IFERROR(VLOOKUP($A128, GOOGLEFINANCE(E$1, ""price"", $A$2, TODAY()), 2, FALSE), """")"),53.07)</f>
        <v>53.07</v>
      </c>
      <c r="F128" s="18">
        <f>IFERROR(__xludf.DUMMYFUNCTION("IFERROR(VLOOKUP($A128, GOOGLEFINANCE(F$1, ""price"", $A$2, TODAY()), 2, FALSE), """")"),107.04)</f>
        <v>107.04</v>
      </c>
      <c r="G128" s="18">
        <f>IFERROR(__xludf.DUMMYFUNCTION("IFERROR(VLOOKUP($A128, GOOGLEFINANCE(G$1, ""price"", $A$2, TODAY()), 2, FALSE), """")"),135.29)</f>
        <v>135.29</v>
      </c>
      <c r="H128" s="18">
        <f>IFERROR(__xludf.DUMMYFUNCTION("IFERROR(VLOOKUP($A128, GOOGLEFINANCE(H$1, ""price"", $A$2, TODAY()), 2, FALSE), """")"),80.66)</f>
        <v>80.66</v>
      </c>
      <c r="I128" s="18">
        <f>IFERROR(__xludf.DUMMYFUNCTION("IFERROR(VLOOKUP($A128, GOOGLEFINANCE(I$1, ""price"", $A$2, TODAY()), 2, FALSE), """")"),154.51)</f>
        <v>154.51</v>
      </c>
      <c r="J128" s="18">
        <f>IFERROR(__xludf.DUMMYFUNCTION("IFERROR(VLOOKUP($A128, GOOGLEFINANCE(J$1, ""price"", $A$2, TODAY()), 2, FALSE), """")"),44.05)</f>
        <v>44.05</v>
      </c>
      <c r="K128" s="18">
        <f>IFERROR(__xludf.DUMMYFUNCTION("IFERROR(VLOOKUP($A128, GOOGLEFINANCE(K$1, ""price"", $A$2, TODAY()), 2, FALSE), """")"),45.52)</f>
        <v>45.52</v>
      </c>
      <c r="L128" s="18">
        <f>IFERROR(__xludf.DUMMYFUNCTION("IFERROR(VLOOKUP($A128, GOOGLEFINANCE(L$1, ""price"", $A$2, TODAY()), 2, FALSE), """")"),41.81)</f>
        <v>41.81</v>
      </c>
      <c r="M128" s="196">
        <f>IFERROR(__xludf.DUMMYFUNCTION("IFERROR(VLOOKUP($A128, GOOGLEFINANCE(M$1, ""price"", $A$2, TODAY()), 2, FALSE), """")"),42.05)</f>
        <v>42.05</v>
      </c>
      <c r="O128" s="18">
        <v>0.2073036706754168</v>
      </c>
      <c r="P128" s="18">
        <v>0.177552045718592</v>
      </c>
      <c r="Q128" s="18">
        <v>0.08332024994504976</v>
      </c>
      <c r="R128" s="18">
        <v>0.16805350582472445</v>
      </c>
      <c r="S128" s="18">
        <v>0.2124061921060068</v>
      </c>
      <c r="T128" s="18">
        <v>0.12663673187427385</v>
      </c>
      <c r="U128" s="18">
        <v>0.2425817188432191</v>
      </c>
      <c r="V128" s="18">
        <v>0.06915879046691994</v>
      </c>
      <c r="W128" s="18">
        <v>0.07146670016014067</v>
      </c>
      <c r="X128" s="18">
        <v>0.06564197569629793</v>
      </c>
      <c r="Y128" s="196">
        <v>0.06601877727886456</v>
      </c>
      <c r="AA128" s="18">
        <v>-0.0023342903530093606</v>
      </c>
      <c r="AB128" s="18">
        <v>0.025114569120048724</v>
      </c>
      <c r="AC128" s="18">
        <v>0.013084996297766383</v>
      </c>
      <c r="AD128" s="18">
        <v>-0.019320162061840618</v>
      </c>
      <c r="AE128" s="18">
        <v>0.007927345850299305</v>
      </c>
      <c r="AF128" s="18">
        <v>-0.007705697615326801</v>
      </c>
      <c r="AG128" s="18">
        <v>0.013170351259095936</v>
      </c>
      <c r="AH128" s="18">
        <v>0.02227058030458684</v>
      </c>
      <c r="AI128" s="18">
        <v>0.026573444243877864</v>
      </c>
      <c r="AJ128" s="18">
        <v>-0.051047966096372854</v>
      </c>
      <c r="AK128" s="18">
        <v>6.98166549014001E-4</v>
      </c>
    </row>
    <row r="129">
      <c r="A129" s="230">
        <f>IFERROR(__xludf.DUMMYFUNCTION("""COMPUTED_VALUE"""),45867.66666666667)</f>
        <v>45867.66667</v>
      </c>
      <c r="B129" s="18">
        <f>IFERROR(__xludf.DUMMYFUNCTION("""COMPUTED_VALUE"""),635.26)</f>
        <v>635.26</v>
      </c>
      <c r="C129" s="18">
        <f>IFERROR(__xludf.DUMMYFUNCTION("IFERROR(VLOOKUP($A129, GOOGLEFINANCE(C$1, ""price"", $A$2, TODAY()), 2, FALSE), """")"),132.04)</f>
        <v>132.04</v>
      </c>
      <c r="D129" s="18">
        <f>IFERROR(__xludf.DUMMYFUNCTION("IFERROR(VLOOKUP($A129, GOOGLEFINANCE(D$1, ""price"", $A$2, TODAY()), 2, FALSE), """")"),112.31)</f>
        <v>112.31</v>
      </c>
      <c r="E129" s="18">
        <f>IFERROR(__xludf.DUMMYFUNCTION("IFERROR(VLOOKUP($A129, GOOGLEFINANCE(E$1, ""price"", $A$2, TODAY()), 2, FALSE), """")"),52.8)</f>
        <v>52.8</v>
      </c>
      <c r="F129" s="18">
        <f>IFERROR(__xludf.DUMMYFUNCTION("IFERROR(VLOOKUP($A129, GOOGLEFINANCE(F$1, ""price"", $A$2, TODAY()), 2, FALSE), """")"),106.12)</f>
        <v>106.12</v>
      </c>
      <c r="G129" s="18">
        <f>IFERROR(__xludf.DUMMYFUNCTION("IFERROR(VLOOKUP($A129, GOOGLEFINANCE(G$1, ""price"", $A$2, TODAY()), 2, FALSE), """")"),134.43)</f>
        <v>134.43</v>
      </c>
      <c r="H129" s="18">
        <f>IFERROR(__xludf.DUMMYFUNCTION("IFERROR(VLOOKUP($A129, GOOGLEFINANCE(H$1, ""price"", $A$2, TODAY()), 2, FALSE), """")"),81.19)</f>
        <v>81.19</v>
      </c>
      <c r="I129" s="18">
        <f>IFERROR(__xludf.DUMMYFUNCTION("IFERROR(VLOOKUP($A129, GOOGLEFINANCE(I$1, ""price"", $A$2, TODAY()), 2, FALSE), """")"),152.75)</f>
        <v>152.75</v>
      </c>
      <c r="J129" s="18">
        <f>IFERROR(__xludf.DUMMYFUNCTION("IFERROR(VLOOKUP($A129, GOOGLEFINANCE(J$1, ""price"", $A$2, TODAY()), 2, FALSE), """")"),44.48)</f>
        <v>44.48</v>
      </c>
      <c r="K129" s="18">
        <f>IFERROR(__xludf.DUMMYFUNCTION("IFERROR(VLOOKUP($A129, GOOGLEFINANCE(K$1, ""price"", $A$2, TODAY()), 2, FALSE), """")"),45.34)</f>
        <v>45.34</v>
      </c>
      <c r="L129" s="18">
        <f>IFERROR(__xludf.DUMMYFUNCTION("IFERROR(VLOOKUP($A129, GOOGLEFINANCE(L$1, ""price"", $A$2, TODAY()), 2, FALSE), """")"),42.29)</f>
        <v>42.29</v>
      </c>
      <c r="M129" s="196">
        <f>IFERROR(__xludf.DUMMYFUNCTION("IFERROR(VLOOKUP($A129, GOOGLEFINANCE(M$1, ""price"", $A$2, TODAY()), 2, FALSE), """")"),42.75)</f>
        <v>42.75</v>
      </c>
      <c r="O129" s="18">
        <v>0.20785190315776217</v>
      </c>
      <c r="P129" s="18">
        <v>0.1767937537386267</v>
      </c>
      <c r="Q129" s="18">
        <v>0.08311557472530932</v>
      </c>
      <c r="R129" s="18">
        <v>0.16704971192897397</v>
      </c>
      <c r="S129" s="18">
        <v>0.21161414224097222</v>
      </c>
      <c r="T129" s="18">
        <v>0.1278059377262853</v>
      </c>
      <c r="U129" s="18">
        <v>0.24045272801687498</v>
      </c>
      <c r="V129" s="18">
        <v>0.0700185750716242</v>
      </c>
      <c r="W129" s="18">
        <v>0.07137235147813495</v>
      </c>
      <c r="X129" s="18">
        <v>0.06657116771085854</v>
      </c>
      <c r="Y129" s="196">
        <v>0.06729528067248056</v>
      </c>
      <c r="AA129" s="18">
        <v>0.003573424773027245</v>
      </c>
      <c r="AB129" s="18">
        <v>0.014262502605933092</v>
      </c>
      <c r="AC129" s="18">
        <v>0.009556817413007623</v>
      </c>
      <c r="AD129" s="18">
        <v>-0.022528814759245286</v>
      </c>
      <c r="AE129" s="18">
        <v>0.0029232671929306786</v>
      </c>
      <c r="AF129" s="18">
        <v>-0.002630859774134575</v>
      </c>
      <c r="AG129" s="18">
        <v>0.0012406313424639936</v>
      </c>
      <c r="AH129" s="18">
        <v>0.02828729157455223</v>
      </c>
      <c r="AI129" s="18">
        <v>0.012874475880777503</v>
      </c>
      <c r="AJ129" s="18">
        <v>-0.032298699366022254</v>
      </c>
      <c r="AK129" s="18">
        <v>0.01147480622062269</v>
      </c>
    </row>
    <row r="130">
      <c r="A130" s="230">
        <f>IFERROR(__xludf.DUMMYFUNCTION("""COMPUTED_VALUE"""),45868.66666666667)</f>
        <v>45868.66667</v>
      </c>
      <c r="B130" s="18">
        <f>IFERROR(__xludf.DUMMYFUNCTION("""COMPUTED_VALUE"""),634.46)</f>
        <v>634.46</v>
      </c>
      <c r="C130" s="18">
        <f>IFERROR(__xludf.DUMMYFUNCTION("IFERROR(VLOOKUP($A130, GOOGLEFINANCE(C$1, ""price"", $A$2, TODAY()), 2, FALSE), """")"),132.34)</f>
        <v>132.34</v>
      </c>
      <c r="D130" s="18">
        <f>IFERROR(__xludf.DUMMYFUNCTION("IFERROR(VLOOKUP($A130, GOOGLEFINANCE(D$1, ""price"", $A$2, TODAY()), 2, FALSE), """")"),111.6)</f>
        <v>111.6</v>
      </c>
      <c r="E130" s="18">
        <f>IFERROR(__xludf.DUMMYFUNCTION("IFERROR(VLOOKUP($A130, GOOGLEFINANCE(E$1, ""price"", $A$2, TODAY()), 2, FALSE), """")"),52.7)</f>
        <v>52.7</v>
      </c>
      <c r="F130" s="18">
        <f>IFERROR(__xludf.DUMMYFUNCTION("IFERROR(VLOOKUP($A130, GOOGLEFINANCE(F$1, ""price"", $A$2, TODAY()), 2, FALSE), """")"),106.45)</f>
        <v>106.45</v>
      </c>
      <c r="G130" s="18">
        <f>IFERROR(__xludf.DUMMYFUNCTION("IFERROR(VLOOKUP($A130, GOOGLEFINANCE(G$1, ""price"", $A$2, TODAY()), 2, FALSE), """")"),134.19)</f>
        <v>134.19</v>
      </c>
      <c r="H130" s="18">
        <f>IFERROR(__xludf.DUMMYFUNCTION("IFERROR(VLOOKUP($A130, GOOGLEFINANCE(H$1, ""price"", $A$2, TODAY()), 2, FALSE), """")"),80.47)</f>
        <v>80.47</v>
      </c>
      <c r="I130" s="18">
        <f>IFERROR(__xludf.DUMMYFUNCTION("IFERROR(VLOOKUP($A130, GOOGLEFINANCE(I$1, ""price"", $A$2, TODAY()), 2, FALSE), """")"),152.0)</f>
        <v>152</v>
      </c>
      <c r="J130" s="18">
        <f>IFERROR(__xludf.DUMMYFUNCTION("IFERROR(VLOOKUP($A130, GOOGLEFINANCE(J$1, ""price"", $A$2, TODAY()), 2, FALSE), """")"),43.84)</f>
        <v>43.84</v>
      </c>
      <c r="K130" s="18">
        <f>IFERROR(__xludf.DUMMYFUNCTION("IFERROR(VLOOKUP($A130, GOOGLEFINANCE(K$1, ""price"", $A$2, TODAY()), 2, FALSE), """")"),44.43)</f>
        <v>44.43</v>
      </c>
      <c r="L130" s="18">
        <f>IFERROR(__xludf.DUMMYFUNCTION("IFERROR(VLOOKUP($A130, GOOGLEFINANCE(L$1, ""price"", $A$2, TODAY()), 2, FALSE), """")"),42.61)</f>
        <v>42.61</v>
      </c>
      <c r="M130" s="196">
        <f>IFERROR(__xludf.DUMMYFUNCTION("IFERROR(VLOOKUP($A130, GOOGLEFINANCE(M$1, ""price"", $A$2, TODAY()), 2, FALSE), """")"),42.15)</f>
        <v>42.15</v>
      </c>
      <c r="O130" s="18">
        <v>0.20858682974497997</v>
      </c>
      <c r="P130" s="18">
        <v>0.17589761371875293</v>
      </c>
      <c r="Q130" s="18">
        <v>0.08306276203385556</v>
      </c>
      <c r="R130" s="18">
        <v>0.16778047473441982</v>
      </c>
      <c r="S130" s="18">
        <v>0.2115026952053715</v>
      </c>
      <c r="T130" s="18">
        <v>0.12683226680957033</v>
      </c>
      <c r="U130" s="18">
        <v>0.2395738107997352</v>
      </c>
      <c r="V130" s="18">
        <v>0.06909813069381837</v>
      </c>
      <c r="W130" s="18">
        <v>0.07002805535415944</v>
      </c>
      <c r="X130" s="18">
        <v>0.06715947419853104</v>
      </c>
      <c r="Y130" s="196">
        <v>0.0664344481921634</v>
      </c>
      <c r="AA130" s="18">
        <v>0.003494063149307447</v>
      </c>
      <c r="AB130" s="18">
        <v>-0.0038083593578048802</v>
      </c>
      <c r="AC130" s="18">
        <v>0.011750809620464153</v>
      </c>
      <c r="AD130" s="18">
        <v>-0.014498015386186114</v>
      </c>
      <c r="AE130" s="18">
        <v>0.025474488330817335</v>
      </c>
      <c r="AF130" s="18">
        <v>-0.016700296596913633</v>
      </c>
      <c r="AG130" s="18">
        <v>0.004422685999181164</v>
      </c>
      <c r="AH130" s="18">
        <v>0.03219818556266252</v>
      </c>
      <c r="AI130" s="18">
        <v>0.012390972515536003</v>
      </c>
      <c r="AJ130" s="18">
        <v>-0.007307356147010946</v>
      </c>
      <c r="AK130" s="18">
        <v>0.014684772557015613</v>
      </c>
    </row>
    <row r="131">
      <c r="A131" s="230">
        <f>IFERROR(__xludf.DUMMYFUNCTION("""COMPUTED_VALUE"""),45869.66666666667)</f>
        <v>45869.66667</v>
      </c>
      <c r="B131" s="18">
        <f>IFERROR(__xludf.DUMMYFUNCTION("""COMPUTED_VALUE"""),632.08)</f>
        <v>632.08</v>
      </c>
      <c r="C131" s="18">
        <f>IFERROR(__xludf.DUMMYFUNCTION("IFERROR(VLOOKUP($A131, GOOGLEFINANCE(C$1, ""price"", $A$2, TODAY()), 2, FALSE), """")"),131.37)</f>
        <v>131.37</v>
      </c>
      <c r="D131" s="18">
        <f>IFERROR(__xludf.DUMMYFUNCTION("IFERROR(VLOOKUP($A131, GOOGLEFINANCE(D$1, ""price"", $A$2, TODAY()), 2, FALSE), """")"),110.72)</f>
        <v>110.72</v>
      </c>
      <c r="E131" s="18">
        <f>IFERROR(__xludf.DUMMYFUNCTION("IFERROR(VLOOKUP($A131, GOOGLEFINANCE(E$1, ""price"", $A$2, TODAY()), 2, FALSE), """")"),52.37)</f>
        <v>52.37</v>
      </c>
      <c r="F131" s="18">
        <f>IFERROR(__xludf.DUMMYFUNCTION("IFERROR(VLOOKUP($A131, GOOGLEFINANCE(F$1, ""price"", $A$2, TODAY()), 2, FALSE), """")"),107.41)</f>
        <v>107.41</v>
      </c>
      <c r="G131" s="18">
        <f>IFERROR(__xludf.DUMMYFUNCTION("IFERROR(VLOOKUP($A131, GOOGLEFINANCE(G$1, ""price"", $A$2, TODAY()), 2, FALSE), """")"),130.43)</f>
        <v>130.43</v>
      </c>
      <c r="H131" s="18">
        <f>IFERROR(__xludf.DUMMYFUNCTION("IFERROR(VLOOKUP($A131, GOOGLEFINANCE(H$1, ""price"", $A$2, TODAY()), 2, FALSE), """")"),79.78)</f>
        <v>79.78</v>
      </c>
      <c r="I131" s="18">
        <f>IFERROR(__xludf.DUMMYFUNCTION("IFERROR(VLOOKUP($A131, GOOGLEFINANCE(I$1, ""price"", $A$2, TODAY()), 2, FALSE), """")"),152.01)</f>
        <v>152.01</v>
      </c>
      <c r="J131" s="18">
        <f>IFERROR(__xludf.DUMMYFUNCTION("IFERROR(VLOOKUP($A131, GOOGLEFINANCE(J$1, ""price"", $A$2, TODAY()), 2, FALSE), """")"),43.61)</f>
        <v>43.61</v>
      </c>
      <c r="K131" s="18">
        <f>IFERROR(__xludf.DUMMYFUNCTION("IFERROR(VLOOKUP($A131, GOOGLEFINANCE(K$1, ""price"", $A$2, TODAY()), 2, FALSE), """")"),43.87)</f>
        <v>43.87</v>
      </c>
      <c r="L131" s="18">
        <f>IFERROR(__xludf.DUMMYFUNCTION("IFERROR(VLOOKUP($A131, GOOGLEFINANCE(L$1, ""price"", $A$2, TODAY()), 2, FALSE), """")"),42.84)</f>
        <v>42.84</v>
      </c>
      <c r="M131" s="196">
        <f>IFERROR(__xludf.DUMMYFUNCTION("IFERROR(VLOOKUP($A131, GOOGLEFINANCE(M$1, ""price"", $A$2, TODAY()), 2, FALSE), """")"),41.41)</f>
        <v>41.41</v>
      </c>
      <c r="O131" s="18">
        <v>0.2078376154917099</v>
      </c>
      <c r="P131" s="18">
        <v>0.17516770029110237</v>
      </c>
      <c r="Q131" s="18">
        <v>0.08285343627388937</v>
      </c>
      <c r="R131" s="18">
        <v>0.16993102138969748</v>
      </c>
      <c r="S131" s="18">
        <v>0.20635046196683965</v>
      </c>
      <c r="T131" s="18">
        <v>0.12621820022781927</v>
      </c>
      <c r="U131" s="18">
        <v>0.24049170991013794</v>
      </c>
      <c r="V131" s="18">
        <v>0.06899443108467282</v>
      </c>
      <c r="W131" s="18">
        <v>0.06940577142133907</v>
      </c>
      <c r="X131" s="18">
        <v>0.06777623085685357</v>
      </c>
      <c r="Y131" s="196">
        <v>0.0655138590051892</v>
      </c>
      <c r="AA131" s="18">
        <v>-0.0018584702268623632</v>
      </c>
      <c r="AB131" s="18">
        <v>-0.008506906812448811</v>
      </c>
      <c r="AC131" s="18">
        <v>0.019740803662966044</v>
      </c>
      <c r="AD131" s="18">
        <v>0.0015744222395472907</v>
      </c>
      <c r="AE131" s="18">
        <v>0.01127881232876815</v>
      </c>
      <c r="AF131" s="18">
        <v>-0.02965154311723328</v>
      </c>
      <c r="AG131" s="18">
        <v>0.008897110946086473</v>
      </c>
      <c r="AH131" s="18">
        <v>0.033690261926170306</v>
      </c>
      <c r="AI131" s="18">
        <v>-0.0017789130768510741</v>
      </c>
      <c r="AJ131" s="18">
        <v>-0.00990013957380631</v>
      </c>
      <c r="AK131" s="18">
        <v>-0.004060174175742448</v>
      </c>
    </row>
    <row r="132">
      <c r="A132" s="230">
        <f>IFERROR(__xludf.DUMMYFUNCTION("""COMPUTED_VALUE"""),45870.66666666667)</f>
        <v>45870.66667</v>
      </c>
      <c r="B132" s="18">
        <f>IFERROR(__xludf.DUMMYFUNCTION("""COMPUTED_VALUE"""),621.72)</f>
        <v>621.72</v>
      </c>
      <c r="C132" s="18">
        <f>IFERROR(__xludf.DUMMYFUNCTION("IFERROR(VLOOKUP($A132, GOOGLEFINANCE(C$1, ""price"", $A$2, TODAY()), 2, FALSE), """")"),128.54)</f>
        <v>128.54</v>
      </c>
      <c r="D132" s="18">
        <f>IFERROR(__xludf.DUMMYFUNCTION("IFERROR(VLOOKUP($A132, GOOGLEFINANCE(D$1, ""price"", $A$2, TODAY()), 2, FALSE), """")"),108.05)</f>
        <v>108.05</v>
      </c>
      <c r="E132" s="18">
        <f>IFERROR(__xludf.DUMMYFUNCTION("IFERROR(VLOOKUP($A132, GOOGLEFINANCE(E$1, ""price"", $A$2, TODAY()), 2, FALSE), """")"),51.4)</f>
        <v>51.4</v>
      </c>
      <c r="F132" s="18">
        <f>IFERROR(__xludf.DUMMYFUNCTION("IFERROR(VLOOKUP($A132, GOOGLEFINANCE(F$1, ""price"", $A$2, TODAY()), 2, FALSE), """")"),106.12)</f>
        <v>106.12</v>
      </c>
      <c r="G132" s="18">
        <f>IFERROR(__xludf.DUMMYFUNCTION("IFERROR(VLOOKUP($A132, GOOGLEFINANCE(G$1, ""price"", $A$2, TODAY()), 2, FALSE), """")"),131.13)</f>
        <v>131.13</v>
      </c>
      <c r="H132" s="18">
        <f>IFERROR(__xludf.DUMMYFUNCTION("IFERROR(VLOOKUP($A132, GOOGLEFINANCE(H$1, ""price"", $A$2, TODAY()), 2, FALSE), """")"),80.16)</f>
        <v>80.16</v>
      </c>
      <c r="I132" s="18">
        <f>IFERROR(__xludf.DUMMYFUNCTION("IFERROR(VLOOKUP($A132, GOOGLEFINANCE(I$1, ""price"", $A$2, TODAY()), 2, FALSE), """")"),149.74)</f>
        <v>149.74</v>
      </c>
      <c r="J132" s="18">
        <f>IFERROR(__xludf.DUMMYFUNCTION("IFERROR(VLOOKUP($A132, GOOGLEFINANCE(J$1, ""price"", $A$2, TODAY()), 2, FALSE), """")"),42.8)</f>
        <v>42.8</v>
      </c>
      <c r="K132" s="18">
        <f>IFERROR(__xludf.DUMMYFUNCTION("IFERROR(VLOOKUP($A132, GOOGLEFINANCE(K$1, ""price"", $A$2, TODAY()), 2, FALSE), """")"),43.36)</f>
        <v>43.36</v>
      </c>
      <c r="L132" s="18">
        <f>IFERROR(__xludf.DUMMYFUNCTION("IFERROR(VLOOKUP($A132, GOOGLEFINANCE(L$1, ""price"", $A$2, TODAY()), 2, FALSE), """")"),42.9)</f>
        <v>42.9</v>
      </c>
      <c r="M132" s="196">
        <f>IFERROR(__xludf.DUMMYFUNCTION("IFERROR(VLOOKUP($A132, GOOGLEFINANCE(M$1, ""price"", $A$2, TODAY()), 2, FALSE), """")"),41.29)</f>
        <v>41.29</v>
      </c>
      <c r="O132" s="18">
        <v>0.20674901885092967</v>
      </c>
      <c r="P132" s="18">
        <v>0.17379206073473588</v>
      </c>
      <c r="Q132" s="18">
        <v>0.08267387248278968</v>
      </c>
      <c r="R132" s="18">
        <v>0.17068776941388406</v>
      </c>
      <c r="S132" s="18">
        <v>0.21091488129704689</v>
      </c>
      <c r="T132" s="18">
        <v>0.1289326384867786</v>
      </c>
      <c r="U132" s="18">
        <v>0.2408479701473332</v>
      </c>
      <c r="V132" s="18">
        <v>0.06884127903236183</v>
      </c>
      <c r="W132" s="18">
        <v>0.06974200604773853</v>
      </c>
      <c r="X132" s="18">
        <v>0.06900212314225053</v>
      </c>
      <c r="Y132" s="196">
        <v>0.06641253297304252</v>
      </c>
      <c r="AA132" s="18">
        <v>-0.009203220281021718</v>
      </c>
      <c r="AB132" s="18">
        <v>-0.010306325328814037</v>
      </c>
      <c r="AC132" s="18">
        <v>0.015971804601425665</v>
      </c>
      <c r="AD132" s="18">
        <v>0.010488088034364296</v>
      </c>
      <c r="AE132" s="18">
        <v>0.03250417996967059</v>
      </c>
      <c r="AF132" s="18">
        <v>-0.003960977315645264</v>
      </c>
      <c r="AG132" s="18">
        <v>0.01746011813616488</v>
      </c>
      <c r="AH132" s="18">
        <v>0.032829907554516424</v>
      </c>
      <c r="AI132" s="18">
        <v>0.005844531767723815</v>
      </c>
      <c r="AJ132" s="18">
        <v>0.020347477924789636</v>
      </c>
      <c r="AK132" s="18">
        <v>0.025860309327593534</v>
      </c>
    </row>
    <row r="133">
      <c r="A133" s="230">
        <f>IFERROR(__xludf.DUMMYFUNCTION("""COMPUTED_VALUE"""),45873.66666666667)</f>
        <v>45873.66667</v>
      </c>
      <c r="B133" s="18">
        <f>IFERROR(__xludf.DUMMYFUNCTION("""COMPUTED_VALUE"""),631.17)</f>
        <v>631.17</v>
      </c>
      <c r="C133" s="18">
        <f>IFERROR(__xludf.DUMMYFUNCTION("IFERROR(VLOOKUP($A133, GOOGLEFINANCE(C$1, ""price"", $A$2, TODAY()), 2, FALSE), """")"),131.15)</f>
        <v>131.15</v>
      </c>
      <c r="D133" s="18">
        <f>IFERROR(__xludf.DUMMYFUNCTION("IFERROR(VLOOKUP($A133, GOOGLEFINANCE(D$1, ""price"", $A$2, TODAY()), 2, FALSE), """")"),109.32)</f>
        <v>109.32</v>
      </c>
      <c r="E133" s="18">
        <f>IFERROR(__xludf.DUMMYFUNCTION("IFERROR(VLOOKUP($A133, GOOGLEFINANCE(E$1, ""price"", $A$2, TODAY()), 2, FALSE), """")"),51.91)</f>
        <v>51.91</v>
      </c>
      <c r="F133" s="18">
        <f>IFERROR(__xludf.DUMMYFUNCTION("IFERROR(VLOOKUP($A133, GOOGLEFINANCE(F$1, ""price"", $A$2, TODAY()), 2, FALSE), """")"),108.16)</f>
        <v>108.16</v>
      </c>
      <c r="G133" s="18">
        <f>IFERROR(__xludf.DUMMYFUNCTION("IFERROR(VLOOKUP($A133, GOOGLEFINANCE(G$1, ""price"", $A$2, TODAY()), 2, FALSE), """")"),133.01)</f>
        <v>133.01</v>
      </c>
      <c r="H133" s="18">
        <f>IFERROR(__xludf.DUMMYFUNCTION("IFERROR(VLOOKUP($A133, GOOGLEFINANCE(H$1, ""price"", $A$2, TODAY()), 2, FALSE), """")"),80.55)</f>
        <v>80.55</v>
      </c>
      <c r="I133" s="18">
        <f>IFERROR(__xludf.DUMMYFUNCTION("IFERROR(VLOOKUP($A133, GOOGLEFINANCE(I$1, ""price"", $A$2, TODAY()), 2, FALSE), """")"),151.12)</f>
        <v>151.12</v>
      </c>
      <c r="J133" s="18">
        <f>IFERROR(__xludf.DUMMYFUNCTION("IFERROR(VLOOKUP($A133, GOOGLEFINANCE(J$1, ""price"", $A$2, TODAY()), 2, FALSE), """")"),42.7)</f>
        <v>42.7</v>
      </c>
      <c r="K133" s="18">
        <f>IFERROR(__xludf.DUMMYFUNCTION("IFERROR(VLOOKUP($A133, GOOGLEFINANCE(K$1, ""price"", $A$2, TODAY()), 2, FALSE), """")"),43.94)</f>
        <v>43.94</v>
      </c>
      <c r="L133" s="18">
        <f>IFERROR(__xludf.DUMMYFUNCTION("IFERROR(VLOOKUP($A133, GOOGLEFINANCE(L$1, ""price"", $A$2, TODAY()), 2, FALSE), """")"),43.66)</f>
        <v>43.66</v>
      </c>
      <c r="M133" s="196">
        <f>IFERROR(__xludf.DUMMYFUNCTION("IFERROR(VLOOKUP($A133, GOOGLEFINANCE(M$1, ""price"", $A$2, TODAY()), 2, FALSE), """")"),41.64)</f>
        <v>41.64</v>
      </c>
      <c r="O133" s="18">
        <v>0.20778870985629863</v>
      </c>
      <c r="P133" s="18">
        <v>0.17320214839108322</v>
      </c>
      <c r="Q133" s="18">
        <v>0.0822440863792639</v>
      </c>
      <c r="R133" s="18">
        <v>0.171364291712217</v>
      </c>
      <c r="S133" s="18">
        <v>0.21073561797930826</v>
      </c>
      <c r="T133" s="18">
        <v>0.12762013403678882</v>
      </c>
      <c r="U133" s="18">
        <v>0.23942836319850438</v>
      </c>
      <c r="V133" s="18">
        <v>0.06765213809274839</v>
      </c>
      <c r="W133" s="18">
        <v>0.06961674350808815</v>
      </c>
      <c r="X133" s="18">
        <v>0.06917312293043079</v>
      </c>
      <c r="Y133" s="196">
        <v>0.06597271733447407</v>
      </c>
      <c r="AA133" s="18">
        <v>5.830408285432132E-4</v>
      </c>
      <c r="AB133" s="18">
        <v>-0.018160900295439153</v>
      </c>
      <c r="AC133" s="18">
        <v>0.009080829834101856</v>
      </c>
      <c r="AD133" s="18">
        <v>0.007339437840941265</v>
      </c>
      <c r="AE133" s="18">
        <v>0.02855932293653929</v>
      </c>
      <c r="AF133" s="18">
        <v>-0.015214225983803509</v>
      </c>
      <c r="AG133" s="18">
        <v>0.012752991387474433</v>
      </c>
      <c r="AH133" s="18">
        <v>0.021157077045823813</v>
      </c>
      <c r="AI133" s="18">
        <v>0.004325760700168324</v>
      </c>
      <c r="AJ133" s="18">
        <v>0.02394255898322961</v>
      </c>
      <c r="AK133" s="18">
        <v>0.02300342373418074</v>
      </c>
    </row>
    <row r="134">
      <c r="A134" s="230">
        <f>IFERROR(__xludf.DUMMYFUNCTION("""COMPUTED_VALUE"""),45874.66666666667)</f>
        <v>45874.66667</v>
      </c>
      <c r="B134" s="18">
        <f>IFERROR(__xludf.DUMMYFUNCTION("""COMPUTED_VALUE"""),627.97)</f>
        <v>627.97</v>
      </c>
      <c r="C134" s="18">
        <f>IFERROR(__xludf.DUMMYFUNCTION("IFERROR(VLOOKUP($A134, GOOGLEFINANCE(C$1, ""price"", $A$2, TODAY()), 2, FALSE), """")"),130.06)</f>
        <v>130.06</v>
      </c>
      <c r="D134" s="18">
        <f>IFERROR(__xludf.DUMMYFUNCTION("IFERROR(VLOOKUP($A134, GOOGLEFINANCE(D$1, ""price"", $A$2, TODAY()), 2, FALSE), """")"),109.46)</f>
        <v>109.46</v>
      </c>
      <c r="E134" s="18">
        <f>IFERROR(__xludf.DUMMYFUNCTION("IFERROR(VLOOKUP($A134, GOOGLEFINANCE(E$1, ""price"", $A$2, TODAY()), 2, FALSE), """")"),51.7)</f>
        <v>51.7</v>
      </c>
      <c r="F134" s="18">
        <f>IFERROR(__xludf.DUMMYFUNCTION("IFERROR(VLOOKUP($A134, GOOGLEFINANCE(F$1, ""price"", $A$2, TODAY()), 2, FALSE), """")"),107.32)</f>
        <v>107.32</v>
      </c>
      <c r="G134" s="18">
        <f>IFERROR(__xludf.DUMMYFUNCTION("IFERROR(VLOOKUP($A134, GOOGLEFINANCE(G$1, ""price"", $A$2, TODAY()), 2, FALSE), """")"),132.5)</f>
        <v>132.5</v>
      </c>
      <c r="H134" s="18">
        <f>IFERROR(__xludf.DUMMYFUNCTION("IFERROR(VLOOKUP($A134, GOOGLEFINANCE(H$1, ""price"", $A$2, TODAY()), 2, FALSE), """")"),80.47)</f>
        <v>80.47</v>
      </c>
      <c r="I134" s="18">
        <f>IFERROR(__xludf.DUMMYFUNCTION("IFERROR(VLOOKUP($A134, GOOGLEFINANCE(I$1, ""price"", $A$2, TODAY()), 2, FALSE), """")"),150.81)</f>
        <v>150.81</v>
      </c>
      <c r="J134" s="18">
        <f>IFERROR(__xludf.DUMMYFUNCTION("IFERROR(VLOOKUP($A134, GOOGLEFINANCE(J$1, ""price"", $A$2, TODAY()), 2, FALSE), """")"),42.76)</f>
        <v>42.76</v>
      </c>
      <c r="K134" s="18">
        <f>IFERROR(__xludf.DUMMYFUNCTION("IFERROR(VLOOKUP($A134, GOOGLEFINANCE(K$1, ""price"", $A$2, TODAY()), 2, FALSE), """")"),44.25)</f>
        <v>44.25</v>
      </c>
      <c r="L134" s="18">
        <f>IFERROR(__xludf.DUMMYFUNCTION("IFERROR(VLOOKUP($A134, GOOGLEFINANCE(L$1, ""price"", $A$2, TODAY()), 2, FALSE), """")"),43.2)</f>
        <v>43.2</v>
      </c>
      <c r="M134" s="196">
        <f>IFERROR(__xludf.DUMMYFUNCTION("IFERROR(VLOOKUP($A134, GOOGLEFINANCE(M$1, ""price"", $A$2, TODAY()), 2, FALSE), """")"),41.78)</f>
        <v>41.78</v>
      </c>
      <c r="O134" s="18">
        <v>0.20711180470404636</v>
      </c>
      <c r="P134" s="18">
        <v>0.17430768985779574</v>
      </c>
      <c r="Q134" s="18">
        <v>0.08232877366753188</v>
      </c>
      <c r="R134" s="18">
        <v>0.17089988375240853</v>
      </c>
      <c r="S134" s="18">
        <v>0.21099734063729159</v>
      </c>
      <c r="T134" s="18">
        <v>0.12814306415911586</v>
      </c>
      <c r="U134" s="18">
        <v>0.240154784464226</v>
      </c>
      <c r="V134" s="18">
        <v>0.06809242479736292</v>
      </c>
      <c r="W134" s="18">
        <v>0.07046514960905775</v>
      </c>
      <c r="X134" s="18">
        <v>0.06879309521155469</v>
      </c>
      <c r="Y134" s="196">
        <v>0.06653184069302674</v>
      </c>
      <c r="AA134" s="18">
        <v>-0.00739235074389577</v>
      </c>
      <c r="AB134" s="18">
        <v>-0.011856671123694484</v>
      </c>
      <c r="AC134" s="18">
        <v>0.008613792382502261</v>
      </c>
      <c r="AD134" s="18">
        <v>-0.0037583103053473454</v>
      </c>
      <c r="AE134" s="18">
        <v>0.03366019402531406</v>
      </c>
      <c r="AF134" s="18">
        <v>-0.0033127689165899366</v>
      </c>
      <c r="AG134" s="18">
        <v>0.016096632174545267</v>
      </c>
      <c r="AH134" s="18">
        <v>0.03383700668597167</v>
      </c>
      <c r="AI134" s="18">
        <v>0.01427204932240378</v>
      </c>
      <c r="AJ134" s="18">
        <v>0.024864032487577292</v>
      </c>
      <c r="AK134" s="18">
        <v>0.0408799584956514</v>
      </c>
    </row>
    <row r="135">
      <c r="A135" s="230">
        <f>IFERROR(__xludf.DUMMYFUNCTION("""COMPUTED_VALUE"""),45875.66666666667)</f>
        <v>45875.66667</v>
      </c>
      <c r="B135" s="18">
        <f>IFERROR(__xludf.DUMMYFUNCTION("""COMPUTED_VALUE"""),632.78)</f>
        <v>632.78</v>
      </c>
      <c r="C135" s="18">
        <f>IFERROR(__xludf.DUMMYFUNCTION("IFERROR(VLOOKUP($A135, GOOGLEFINANCE(C$1, ""price"", $A$2, TODAY()), 2, FALSE), """")"),131.53)</f>
        <v>131.53</v>
      </c>
      <c r="D135" s="18">
        <f>IFERROR(__xludf.DUMMYFUNCTION("IFERROR(VLOOKUP($A135, GOOGLEFINANCE(D$1, ""price"", $A$2, TODAY()), 2, FALSE), """")"),111.73)</f>
        <v>111.73</v>
      </c>
      <c r="E135" s="18">
        <f>IFERROR(__xludf.DUMMYFUNCTION("IFERROR(VLOOKUP($A135, GOOGLEFINANCE(E$1, ""price"", $A$2, TODAY()), 2, FALSE), """")"),51.95)</f>
        <v>51.95</v>
      </c>
      <c r="F135" s="18">
        <f>IFERROR(__xludf.DUMMYFUNCTION("IFERROR(VLOOKUP($A135, GOOGLEFINANCE(F$1, ""price"", $A$2, TODAY()), 2, FALSE), """")"),107.73)</f>
        <v>107.73</v>
      </c>
      <c r="G135" s="18">
        <f>IFERROR(__xludf.DUMMYFUNCTION("IFERROR(VLOOKUP($A135, GOOGLEFINANCE(G$1, ""price"", $A$2, TODAY()), 2, FALSE), """")"),130.51)</f>
        <v>130.51</v>
      </c>
      <c r="H135" s="18">
        <f>IFERROR(__xludf.DUMMYFUNCTION("IFERROR(VLOOKUP($A135, GOOGLEFINANCE(H$1, ""price"", $A$2, TODAY()), 2, FALSE), """")"),81.62)</f>
        <v>81.62</v>
      </c>
      <c r="I135" s="18">
        <f>IFERROR(__xludf.DUMMYFUNCTION("IFERROR(VLOOKUP($A135, GOOGLEFINANCE(I$1, ""price"", $A$2, TODAY()), 2, FALSE), """")"),150.93)</f>
        <v>150.93</v>
      </c>
      <c r="J135" s="18">
        <f>IFERROR(__xludf.DUMMYFUNCTION("IFERROR(VLOOKUP($A135, GOOGLEFINANCE(J$1, ""price"", $A$2, TODAY()), 2, FALSE), """")"),42.36)</f>
        <v>42.36</v>
      </c>
      <c r="K135" s="18">
        <f>IFERROR(__xludf.DUMMYFUNCTION("IFERROR(VLOOKUP($A135, GOOGLEFINANCE(K$1, ""price"", $A$2, TODAY()), 2, FALSE), """")"),43.77)</f>
        <v>43.77</v>
      </c>
      <c r="L135" s="18">
        <f>IFERROR(__xludf.DUMMYFUNCTION("IFERROR(VLOOKUP($A135, GOOGLEFINANCE(L$1, ""price"", $A$2, TODAY()), 2, FALSE), """")"),42.81)</f>
        <v>42.81</v>
      </c>
      <c r="M135" s="196">
        <f>IFERROR(__xludf.DUMMYFUNCTION("IFERROR(VLOOKUP($A135, GOOGLEFINANCE(M$1, ""price"", $A$2, TODAY()), 2, FALSE), """")"),41.43)</f>
        <v>41.43</v>
      </c>
      <c r="O135" s="18">
        <v>0.20786055185056418</v>
      </c>
      <c r="P135" s="18">
        <v>0.1765700559436139</v>
      </c>
      <c r="Q135" s="18">
        <v>0.08209804355384179</v>
      </c>
      <c r="R135" s="18">
        <v>0.1702487436391795</v>
      </c>
      <c r="S135" s="18">
        <v>0.2062486172129334</v>
      </c>
      <c r="T135" s="18">
        <v>0.12898637757198395</v>
      </c>
      <c r="U135" s="18">
        <v>0.23851891652707105</v>
      </c>
      <c r="V135" s="18">
        <v>0.06694269730396031</v>
      </c>
      <c r="W135" s="18">
        <v>0.06917095989127343</v>
      </c>
      <c r="X135" s="18">
        <v>0.06765384493820918</v>
      </c>
      <c r="Y135" s="196">
        <v>0.0654729921931793</v>
      </c>
      <c r="AA135" s="18">
        <v>-8.40852095182365E-4</v>
      </c>
      <c r="AB135" s="18">
        <v>-0.00923811557054588</v>
      </c>
      <c r="AC135" s="18">
        <v>0.0034914197770476996</v>
      </c>
      <c r="AD135" s="18">
        <v>-0.011864708077846675</v>
      </c>
      <c r="AE135" s="18">
        <v>-0.002118157742901805</v>
      </c>
      <c r="AF135" s="18">
        <v>0.006680685373311457</v>
      </c>
      <c r="AG135" s="18">
        <v>0.008777964842227481</v>
      </c>
      <c r="AH135" s="18">
        <v>0.008189539102077648</v>
      </c>
      <c r="AI135" s="18">
        <v>-0.019396343717667075</v>
      </c>
      <c r="AJ135" s="18">
        <v>0.009002961660539155</v>
      </c>
      <c r="AK135" s="18">
        <v>0.021109502671327718</v>
      </c>
    </row>
    <row r="136">
      <c r="A136" s="230">
        <f>IFERROR(__xludf.DUMMYFUNCTION("""COMPUTED_VALUE"""),45876.66666666667)</f>
        <v>45876.66667</v>
      </c>
      <c r="B136" s="18">
        <f>IFERROR(__xludf.DUMMYFUNCTION("""COMPUTED_VALUE"""),632.25)</f>
        <v>632.25</v>
      </c>
      <c r="C136" s="18">
        <f>IFERROR(__xludf.DUMMYFUNCTION("IFERROR(VLOOKUP($A136, GOOGLEFINANCE(C$1, ""price"", $A$2, TODAY()), 2, FALSE), """")"),131.65)</f>
        <v>131.65</v>
      </c>
      <c r="D136" s="18">
        <f>IFERROR(__xludf.DUMMYFUNCTION("IFERROR(VLOOKUP($A136, GOOGLEFINANCE(D$1, ""price"", $A$2, TODAY()), 2, FALSE), """")"),111.7)</f>
        <v>111.7</v>
      </c>
      <c r="E136" s="18">
        <f>IFERROR(__xludf.DUMMYFUNCTION("IFERROR(VLOOKUP($A136, GOOGLEFINANCE(E$1, ""price"", $A$2, TODAY()), 2, FALSE), """")"),51.37)</f>
        <v>51.37</v>
      </c>
      <c r="F136" s="18">
        <f>IFERROR(__xludf.DUMMYFUNCTION("IFERROR(VLOOKUP($A136, GOOGLEFINANCE(F$1, ""price"", $A$2, TODAY()), 2, FALSE), """")"),107.27)</f>
        <v>107.27</v>
      </c>
      <c r="G136" s="18">
        <f>IFERROR(__xludf.DUMMYFUNCTION("IFERROR(VLOOKUP($A136, GOOGLEFINANCE(G$1, ""price"", $A$2, TODAY()), 2, FALSE), """")"),129.01)</f>
        <v>129.01</v>
      </c>
      <c r="H136" s="18">
        <f>IFERROR(__xludf.DUMMYFUNCTION("IFERROR(VLOOKUP($A136, GOOGLEFINANCE(H$1, ""price"", $A$2, TODAY()), 2, FALSE), """")"),82.24)</f>
        <v>82.24</v>
      </c>
      <c r="I136" s="18">
        <f>IFERROR(__xludf.DUMMYFUNCTION("IFERROR(VLOOKUP($A136, GOOGLEFINANCE(I$1, ""price"", $A$2, TODAY()), 2, FALSE), """")"),150.71)</f>
        <v>150.71</v>
      </c>
      <c r="J136" s="18">
        <f>IFERROR(__xludf.DUMMYFUNCTION("IFERROR(VLOOKUP($A136, GOOGLEFINANCE(J$1, ""price"", $A$2, TODAY()), 2, FALSE), """")"),42.2)</f>
        <v>42.2</v>
      </c>
      <c r="K136" s="18">
        <f>IFERROR(__xludf.DUMMYFUNCTION("IFERROR(VLOOKUP($A136, GOOGLEFINANCE(K$1, ""price"", $A$2, TODAY()), 2, FALSE), """")"),43.96)</f>
        <v>43.96</v>
      </c>
      <c r="L136" s="18">
        <f>IFERROR(__xludf.DUMMYFUNCTION("IFERROR(VLOOKUP($A136, GOOGLEFINANCE(L$1, ""price"", $A$2, TODAY()), 2, FALSE), """")"),43.28)</f>
        <v>43.28</v>
      </c>
      <c r="M136" s="196">
        <f>IFERROR(__xludf.DUMMYFUNCTION("IFERROR(VLOOKUP($A136, GOOGLEFINANCE(M$1, ""price"", $A$2, TODAY()), 2, FALSE), """")"),41.59)</f>
        <v>41.59</v>
      </c>
      <c r="O136" s="18">
        <v>0.20822459470146304</v>
      </c>
      <c r="P136" s="18">
        <v>0.1766706207987347</v>
      </c>
      <c r="Q136" s="18">
        <v>0.08124950573349149</v>
      </c>
      <c r="R136" s="18">
        <v>0.16966389877421906</v>
      </c>
      <c r="S136" s="18">
        <v>0.2040490312376433</v>
      </c>
      <c r="T136" s="18">
        <v>0.1300751285092922</v>
      </c>
      <c r="U136" s="18">
        <v>0.23837089758797944</v>
      </c>
      <c r="V136" s="18">
        <v>0.06674574930802689</v>
      </c>
      <c r="W136" s="18">
        <v>0.06952945828390668</v>
      </c>
      <c r="X136" s="18">
        <v>0.06845393436140768</v>
      </c>
      <c r="Y136" s="196">
        <v>0.06578094108343219</v>
      </c>
      <c r="AA136" s="18">
        <v>0.0031706308561185725</v>
      </c>
      <c r="AB136" s="18">
        <v>-0.007458912159024833</v>
      </c>
      <c r="AC136" s="18">
        <v>-0.011472010510934827</v>
      </c>
      <c r="AD136" s="18">
        <v>-0.015964644654383187</v>
      </c>
      <c r="AE136" s="18">
        <v>-0.017606578854000743</v>
      </c>
      <c r="AF136" s="18">
        <v>0.024446869362168888</v>
      </c>
      <c r="AG136" s="18">
        <v>0.01725210348287809</v>
      </c>
      <c r="AH136" s="18">
        <v>0.006256919500045477</v>
      </c>
      <c r="AI136" s="18">
        <v>-0.00393105019534401</v>
      </c>
      <c r="AJ136" s="18">
        <v>0.02816406535607552</v>
      </c>
      <c r="AK136" s="18">
        <v>0.03325421217144653</v>
      </c>
    </row>
    <row r="137">
      <c r="A137" s="230">
        <f>IFERROR(__xludf.DUMMYFUNCTION("""COMPUTED_VALUE"""),45877.66666666667)</f>
        <v>45877.66667</v>
      </c>
      <c r="B137" s="18">
        <f>IFERROR(__xludf.DUMMYFUNCTION("""COMPUTED_VALUE"""),637.18)</f>
        <v>637.18</v>
      </c>
      <c r="C137" s="18">
        <f>IFERROR(__xludf.DUMMYFUNCTION("IFERROR(VLOOKUP($A137, GOOGLEFINANCE(C$1, ""price"", $A$2, TODAY()), 2, FALSE), """")"),132.96)</f>
        <v>132.96</v>
      </c>
      <c r="D137" s="18">
        <f>IFERROR(__xludf.DUMMYFUNCTION("IFERROR(VLOOKUP($A137, GOOGLEFINANCE(D$1, ""price"", $A$2, TODAY()), 2, FALSE), """")"),111.89)</f>
        <v>111.89</v>
      </c>
      <c r="E137" s="18">
        <f>IFERROR(__xludf.DUMMYFUNCTION("IFERROR(VLOOKUP($A137, GOOGLEFINANCE(E$1, ""price"", $A$2, TODAY()), 2, FALSE), """")"),51.85)</f>
        <v>51.85</v>
      </c>
      <c r="F137" s="18">
        <f>IFERROR(__xludf.DUMMYFUNCTION("IFERROR(VLOOKUP($A137, GOOGLEFINANCE(F$1, ""price"", $A$2, TODAY()), 2, FALSE), """")"),107.63)</f>
        <v>107.63</v>
      </c>
      <c r="G137" s="18">
        <f>IFERROR(__xludf.DUMMYFUNCTION("IFERROR(VLOOKUP($A137, GOOGLEFINANCE(G$1, ""price"", $A$2, TODAY()), 2, FALSE), """")"),130.16)</f>
        <v>130.16</v>
      </c>
      <c r="H137" s="18">
        <f>IFERROR(__xludf.DUMMYFUNCTION("IFERROR(VLOOKUP($A137, GOOGLEFINANCE(H$1, ""price"", $A$2, TODAY()), 2, FALSE), """")"),82.48)</f>
        <v>82.48</v>
      </c>
      <c r="I137" s="18">
        <f>IFERROR(__xludf.DUMMYFUNCTION("IFERROR(VLOOKUP($A137, GOOGLEFINANCE(I$1, ""price"", $A$2, TODAY()), 2, FALSE), """")"),150.83)</f>
        <v>150.83</v>
      </c>
      <c r="J137" s="18">
        <f>IFERROR(__xludf.DUMMYFUNCTION("IFERROR(VLOOKUP($A137, GOOGLEFINANCE(J$1, ""price"", $A$2, TODAY()), 2, FALSE), """")"),42.47)</f>
        <v>42.47</v>
      </c>
      <c r="K137" s="18">
        <f>IFERROR(__xludf.DUMMYFUNCTION("IFERROR(VLOOKUP($A137, GOOGLEFINANCE(K$1, ""price"", $A$2, TODAY()), 2, FALSE), """")"),44.18)</f>
        <v>44.18</v>
      </c>
      <c r="L137" s="18">
        <f>IFERROR(__xludf.DUMMYFUNCTION("IFERROR(VLOOKUP($A137, GOOGLEFINANCE(L$1, ""price"", $A$2, TODAY()), 2, FALSE), """")"),43.09)</f>
        <v>43.09</v>
      </c>
      <c r="M137" s="196">
        <f>IFERROR(__xludf.DUMMYFUNCTION("IFERROR(VLOOKUP($A137, GOOGLEFINANCE(M$1, ""price"", $A$2, TODAY()), 2, FALSE), """")"),41.25)</f>
        <v>41.25</v>
      </c>
      <c r="O137" s="18">
        <v>0.20866944976301832</v>
      </c>
      <c r="P137" s="18">
        <v>0.17560187074296119</v>
      </c>
      <c r="Q137" s="18">
        <v>0.08137417998053927</v>
      </c>
      <c r="R137" s="18">
        <v>0.16891616183809913</v>
      </c>
      <c r="S137" s="18">
        <v>0.2042750871025456</v>
      </c>
      <c r="T137" s="18">
        <v>0.12944536865563894</v>
      </c>
      <c r="U137" s="18">
        <v>0.23671490002824952</v>
      </c>
      <c r="V137" s="18">
        <v>0.06665306506795568</v>
      </c>
      <c r="W137" s="18">
        <v>0.0693367651213158</v>
      </c>
      <c r="X137" s="18">
        <v>0.06762610251420322</v>
      </c>
      <c r="Y137" s="196">
        <v>0.06473837848017829</v>
      </c>
      <c r="AA137" s="18">
        <v>0.01066067561548012</v>
      </c>
      <c r="AB137" s="18">
        <v>-0.013366506192359795</v>
      </c>
      <c r="AC137" s="18">
        <v>-0.001917606430076435</v>
      </c>
      <c r="AD137" s="18">
        <v>-0.025050097119604375</v>
      </c>
      <c r="AE137" s="18">
        <v>-0.035028543827458014</v>
      </c>
      <c r="AF137" s="18">
        <v>0.01548802740531996</v>
      </c>
      <c r="AG137" s="18">
        <v>0.012442404109125782</v>
      </c>
      <c r="AH137" s="18">
        <v>0.0025069702507107827</v>
      </c>
      <c r="AI137" s="18">
        <v>-0.009017144609963501</v>
      </c>
      <c r="AJ137" s="18">
        <v>0.016429324964702507</v>
      </c>
      <c r="AK137" s="18">
        <v>0.007869882634549352</v>
      </c>
    </row>
    <row r="138">
      <c r="A138" s="230">
        <f>IFERROR(__xludf.DUMMYFUNCTION("""COMPUTED_VALUE"""),45880.66666666667)</f>
        <v>45880.66667</v>
      </c>
      <c r="B138" s="18">
        <f>IFERROR(__xludf.DUMMYFUNCTION("""COMPUTED_VALUE"""),635.92)</f>
        <v>635.92</v>
      </c>
      <c r="C138" s="18">
        <f>IFERROR(__xludf.DUMMYFUNCTION("IFERROR(VLOOKUP($A138, GOOGLEFINANCE(C$1, ""price"", $A$2, TODAY()), 2, FALSE), """")"),132.06)</f>
        <v>132.06</v>
      </c>
      <c r="D138" s="18">
        <f>IFERROR(__xludf.DUMMYFUNCTION("IFERROR(VLOOKUP($A138, GOOGLEFINANCE(D$1, ""price"", $A$2, TODAY()), 2, FALSE), """")"),112.18)</f>
        <v>112.18</v>
      </c>
      <c r="E138" s="18">
        <f>IFERROR(__xludf.DUMMYFUNCTION("IFERROR(VLOOKUP($A138, GOOGLEFINANCE(E$1, ""price"", $A$2, TODAY()), 2, FALSE), """")"),51.83)</f>
        <v>51.83</v>
      </c>
      <c r="F138" s="18">
        <f>IFERROR(__xludf.DUMMYFUNCTION("IFERROR(VLOOKUP($A138, GOOGLEFINANCE(F$1, ""price"", $A$2, TODAY()), 2, FALSE), """")"),108.18)</f>
        <v>108.18</v>
      </c>
      <c r="G138" s="18">
        <f>IFERROR(__xludf.DUMMYFUNCTION("IFERROR(VLOOKUP($A138, GOOGLEFINANCE(G$1, ""price"", $A$2, TODAY()), 2, FALSE), """")"),130.29)</f>
        <v>130.29</v>
      </c>
      <c r="H138" s="18">
        <f>IFERROR(__xludf.DUMMYFUNCTION("IFERROR(VLOOKUP($A138, GOOGLEFINANCE(H$1, ""price"", $A$2, TODAY()), 2, FALSE), """")"),82.41)</f>
        <v>82.41</v>
      </c>
      <c r="I138" s="18">
        <f>IFERROR(__xludf.DUMMYFUNCTION("IFERROR(VLOOKUP($A138, GOOGLEFINANCE(I$1, ""price"", $A$2, TODAY()), 2, FALSE), """")"),150.34)</f>
        <v>150.34</v>
      </c>
      <c r="J138" s="18">
        <f>IFERROR(__xludf.DUMMYFUNCTION("IFERROR(VLOOKUP($A138, GOOGLEFINANCE(J$1, ""price"", $A$2, TODAY()), 2, FALSE), """")"),42.13)</f>
        <v>42.13</v>
      </c>
      <c r="K138" s="18">
        <f>IFERROR(__xludf.DUMMYFUNCTION("IFERROR(VLOOKUP($A138, GOOGLEFINANCE(K$1, ""price"", $A$2, TODAY()), 2, FALSE), """")"),44.08)</f>
        <v>44.08</v>
      </c>
      <c r="L138" s="18">
        <f>IFERROR(__xludf.DUMMYFUNCTION("IFERROR(VLOOKUP($A138, GOOGLEFINANCE(L$1, ""price"", $A$2, TODAY()), 2, FALSE), """")"),42.96)</f>
        <v>42.96</v>
      </c>
      <c r="M138" s="196">
        <f>IFERROR(__xludf.DUMMYFUNCTION("IFERROR(VLOOKUP($A138, GOOGLEFINANCE(M$1, ""price"", $A$2, TODAY()), 2, FALSE), """")"),41.01)</f>
        <v>41.01</v>
      </c>
      <c r="O138" s="18">
        <v>0.20766763114857217</v>
      </c>
      <c r="P138" s="18">
        <v>0.17640583721222797</v>
      </c>
      <c r="Q138" s="18">
        <v>0.08150396276261165</v>
      </c>
      <c r="R138" s="18">
        <v>0.17011573782865771</v>
      </c>
      <c r="S138" s="18">
        <v>0.2048842621713423</v>
      </c>
      <c r="T138" s="18">
        <v>0.12959177255000628</v>
      </c>
      <c r="U138" s="18">
        <v>0.23641338533148826</v>
      </c>
      <c r="V138" s="18">
        <v>0.06625047175745377</v>
      </c>
      <c r="W138" s="18">
        <v>0.06931689520694427</v>
      </c>
      <c r="X138" s="18">
        <v>0.0675556673795446</v>
      </c>
      <c r="Y138" s="196">
        <v>0.06448924393005409</v>
      </c>
      <c r="AA138" s="18">
        <v>0.003399332416076817</v>
      </c>
      <c r="AB138" s="18">
        <v>-0.013029439218766314</v>
      </c>
      <c r="AC138" s="18">
        <v>-0.001304776282131881</v>
      </c>
      <c r="AD138" s="18">
        <v>-0.012315395801665185</v>
      </c>
      <c r="AE138" s="18">
        <v>-0.030082818052656446</v>
      </c>
      <c r="AF138" s="18">
        <v>0.01778033550749658</v>
      </c>
      <c r="AG138" s="18">
        <v>0.006983584610649407</v>
      </c>
      <c r="AH138" s="18">
        <v>0.002090958889489958</v>
      </c>
      <c r="AI138" s="18">
        <v>-0.003763210754529789</v>
      </c>
      <c r="AJ138" s="18">
        <v>0.019436097238119565</v>
      </c>
      <c r="AK138" s="18">
        <v>0.013334895461744045</v>
      </c>
    </row>
    <row r="139">
      <c r="A139" s="230">
        <f>IFERROR(__xludf.DUMMYFUNCTION("""COMPUTED_VALUE"""),45881.66666666667)</f>
        <v>45881.66667</v>
      </c>
      <c r="B139" s="18">
        <f>IFERROR(__xludf.DUMMYFUNCTION("""COMPUTED_VALUE"""),642.69)</f>
        <v>642.69</v>
      </c>
      <c r="C139" s="18">
        <f>IFERROR(__xludf.DUMMYFUNCTION("IFERROR(VLOOKUP($A139, GOOGLEFINANCE(C$1, ""price"", $A$2, TODAY()), 2, FALSE), """")"),134.1)</f>
        <v>134.1</v>
      </c>
      <c r="D139" s="18">
        <f>IFERROR(__xludf.DUMMYFUNCTION("IFERROR(VLOOKUP($A139, GOOGLEFINANCE(D$1, ""price"", $A$2, TODAY()), 2, FALSE), """")"),113.37)</f>
        <v>113.37</v>
      </c>
      <c r="E139" s="18">
        <f>IFERROR(__xludf.DUMMYFUNCTION("IFERROR(VLOOKUP($A139, GOOGLEFINANCE(E$1, ""price"", $A$2, TODAY()), 2, FALSE), """")"),52.46)</f>
        <v>52.46</v>
      </c>
      <c r="F139" s="18">
        <f>IFERROR(__xludf.DUMMYFUNCTION("IFERROR(VLOOKUP($A139, GOOGLEFINANCE(F$1, ""price"", $A$2, TODAY()), 2, FALSE), """")"),110.25)</f>
        <v>110.25</v>
      </c>
      <c r="G139" s="18">
        <f>IFERROR(__xludf.DUMMYFUNCTION("IFERROR(VLOOKUP($A139, GOOGLEFINANCE(G$1, ""price"", $A$2, TODAY()), 2, FALSE), """")"),131.19)</f>
        <v>131.19</v>
      </c>
      <c r="H139" s="18">
        <f>IFERROR(__xludf.DUMMYFUNCTION("IFERROR(VLOOKUP($A139, GOOGLEFINANCE(H$1, ""price"", $A$2, TODAY()), 2, FALSE), """")"),82.63)</f>
        <v>82.63</v>
      </c>
      <c r="I139" s="18">
        <f>IFERROR(__xludf.DUMMYFUNCTION("IFERROR(VLOOKUP($A139, GOOGLEFINANCE(I$1, ""price"", $A$2, TODAY()), 2, FALSE), """")"),151.9)</f>
        <v>151.9</v>
      </c>
      <c r="J139" s="18">
        <f>IFERROR(__xludf.DUMMYFUNCTION("IFERROR(VLOOKUP($A139, GOOGLEFINANCE(J$1, ""price"", $A$2, TODAY()), 2, FALSE), """")"),42.33)</f>
        <v>42.33</v>
      </c>
      <c r="K139" s="18">
        <f>IFERROR(__xludf.DUMMYFUNCTION("IFERROR(VLOOKUP($A139, GOOGLEFINANCE(K$1, ""price"", $A$2, TODAY()), 2, FALSE), """")"),44.65)</f>
        <v>44.65</v>
      </c>
      <c r="L139" s="18">
        <f>IFERROR(__xludf.DUMMYFUNCTION("IFERROR(VLOOKUP($A139, GOOGLEFINANCE(L$1, ""price"", $A$2, TODAY()), 2, FALSE), """")"),43.14)</f>
        <v>43.14</v>
      </c>
      <c r="M139" s="196">
        <f>IFERROR(__xludf.DUMMYFUNCTION("IFERROR(VLOOKUP($A139, GOOGLEFINANCE(M$1, ""price"", $A$2, TODAY()), 2, FALSE), """")"),41.08)</f>
        <v>41.08</v>
      </c>
      <c r="O139" s="18">
        <v>0.20865425010502728</v>
      </c>
      <c r="P139" s="18">
        <v>0.1763991971245857</v>
      </c>
      <c r="Q139" s="18">
        <v>0.0816256671178951</v>
      </c>
      <c r="R139" s="18">
        <v>0.17154460159641505</v>
      </c>
      <c r="S139" s="18">
        <v>0.20412640619894504</v>
      </c>
      <c r="T139" s="18">
        <v>0.12856898349126328</v>
      </c>
      <c r="U139" s="18">
        <v>0.23635033997728297</v>
      </c>
      <c r="V139" s="18">
        <v>0.06586379125239228</v>
      </c>
      <c r="W139" s="18">
        <v>0.06947361869641662</v>
      </c>
      <c r="X139" s="18">
        <v>0.06712411893759043</v>
      </c>
      <c r="Y139" s="196">
        <v>0.06391884112091366</v>
      </c>
      <c r="AA139" s="18">
        <v>0.020557111533502592</v>
      </c>
      <c r="AB139" s="18">
        <v>-0.017993819609491313</v>
      </c>
      <c r="AC139" s="18">
        <v>-0.007130835005694891</v>
      </c>
      <c r="AD139" s="18">
        <v>-0.0038486880794854628</v>
      </c>
      <c r="AE139" s="18">
        <v>-0.04502693806561109</v>
      </c>
      <c r="AF139" s="18">
        <v>-0.005924817794016324</v>
      </c>
      <c r="AG139" s="18">
        <v>-9.294990693354821E-4</v>
      </c>
      <c r="AH139" s="18">
        <v>-0.009395574019908315</v>
      </c>
      <c r="AI139" s="18">
        <v>-0.012882167929062494</v>
      </c>
      <c r="AJ139" s="18">
        <v>-0.002168156657534115</v>
      </c>
      <c r="AK139" s="18">
        <v>-0.018576584171543953</v>
      </c>
    </row>
    <row r="140">
      <c r="A140" s="230">
        <f>IFERROR(__xludf.DUMMYFUNCTION("""COMPUTED_VALUE"""),45882.66666666667)</f>
        <v>45882.66667</v>
      </c>
      <c r="B140" s="18">
        <f>IFERROR(__xludf.DUMMYFUNCTION("""COMPUTED_VALUE"""),644.89)</f>
        <v>644.89</v>
      </c>
      <c r="C140" s="18">
        <f>IFERROR(__xludf.DUMMYFUNCTION("IFERROR(VLOOKUP($A140, GOOGLEFINANCE(C$1, ""price"", $A$2, TODAY()), 2, FALSE), """")"),134.16)</f>
        <v>134.16</v>
      </c>
      <c r="D140" s="18">
        <f>IFERROR(__xludf.DUMMYFUNCTION("IFERROR(VLOOKUP($A140, GOOGLEFINANCE(D$1, ""price"", $A$2, TODAY()), 2, FALSE), """")"),114.93)</f>
        <v>114.93</v>
      </c>
      <c r="E140" s="18">
        <f>IFERROR(__xludf.DUMMYFUNCTION("IFERROR(VLOOKUP($A140, GOOGLEFINANCE(E$1, ""price"", $A$2, TODAY()), 2, FALSE), """")"),52.76)</f>
        <v>52.76</v>
      </c>
      <c r="F140" s="18">
        <f>IFERROR(__xludf.DUMMYFUNCTION("IFERROR(VLOOKUP($A140, GOOGLEFINANCE(F$1, ""price"", $A$2, TODAY()), 2, FALSE), """")"),111.11)</f>
        <v>111.11</v>
      </c>
      <c r="G140" s="18">
        <f>IFERROR(__xludf.DUMMYFUNCTION("IFERROR(VLOOKUP($A140, GOOGLEFINANCE(G$1, ""price"", $A$2, TODAY()), 2, FALSE), """")"),133.29)</f>
        <v>133.29</v>
      </c>
      <c r="H140" s="18">
        <f>IFERROR(__xludf.DUMMYFUNCTION("IFERROR(VLOOKUP($A140, GOOGLEFINANCE(H$1, ""price"", $A$2, TODAY()), 2, FALSE), """")"),82.63)</f>
        <v>82.63</v>
      </c>
      <c r="I140" s="18">
        <f>IFERROR(__xludf.DUMMYFUNCTION("IFERROR(VLOOKUP($A140, GOOGLEFINANCE(I$1, ""price"", $A$2, TODAY()), 2, FALSE), """")"),152.48)</f>
        <v>152.48</v>
      </c>
      <c r="J140" s="18">
        <f>IFERROR(__xludf.DUMMYFUNCTION("IFERROR(VLOOKUP($A140, GOOGLEFINANCE(J$1, ""price"", $A$2, TODAY()), 2, FALSE), """")"),42.82)</f>
        <v>42.82</v>
      </c>
      <c r="K140" s="18">
        <f>IFERROR(__xludf.DUMMYFUNCTION("IFERROR(VLOOKUP($A140, GOOGLEFINANCE(K$1, ""price"", $A$2, TODAY()), 2, FALSE), """")"),45.49)</f>
        <v>45.49</v>
      </c>
      <c r="L140" s="18">
        <f>IFERROR(__xludf.DUMMYFUNCTION("IFERROR(VLOOKUP($A140, GOOGLEFINANCE(L$1, ""price"", $A$2, TODAY()), 2, FALSE), """")"),43.24)</f>
        <v>43.24</v>
      </c>
      <c r="M140" s="196">
        <f>IFERROR(__xludf.DUMMYFUNCTION("IFERROR(VLOOKUP($A140, GOOGLEFINANCE(M$1, ""price"", $A$2, TODAY()), 2, FALSE), """")"),41.35)</f>
        <v>41.35</v>
      </c>
      <c r="O140" s="18">
        <v>0.20803547891888538</v>
      </c>
      <c r="P140" s="18">
        <v>0.1782164400130255</v>
      </c>
      <c r="Q140" s="18">
        <v>0.08181240211508939</v>
      </c>
      <c r="R140" s="18">
        <v>0.17229294918513235</v>
      </c>
      <c r="S140" s="18">
        <v>0.20668641163609297</v>
      </c>
      <c r="T140" s="18">
        <v>0.12813037882429562</v>
      </c>
      <c r="U140" s="18">
        <v>0.23644342445998542</v>
      </c>
      <c r="V140" s="18">
        <v>0.06639892074617376</v>
      </c>
      <c r="W140" s="18">
        <v>0.07053916171750221</v>
      </c>
      <c r="X140" s="18">
        <v>0.06705019460683218</v>
      </c>
      <c r="Y140" s="196">
        <v>0.06411946223386934</v>
      </c>
      <c r="AA140" s="18">
        <v>0.021700295951127213</v>
      </c>
      <c r="AB140" s="18">
        <v>-6.002940793418121E-4</v>
      </c>
      <c r="AC140" s="18">
        <v>-0.012572121928131397</v>
      </c>
      <c r="AD140" s="18">
        <v>8.361748249869905E-4</v>
      </c>
      <c r="AE140" s="18">
        <v>-0.04080970087921976</v>
      </c>
      <c r="AF140" s="18">
        <v>-0.01752852641707181</v>
      </c>
      <c r="AG140" s="18">
        <v>-0.0022687899605786654</v>
      </c>
      <c r="AH140" s="18">
        <v>-0.012358617311400089</v>
      </c>
      <c r="AI140" s="18">
        <v>-0.0010709169206539748</v>
      </c>
      <c r="AJ140" s="18">
        <v>-0.007068932917946746</v>
      </c>
      <c r="AK140" s="18">
        <v>-0.021867797129945687</v>
      </c>
    </row>
    <row r="141">
      <c r="A141" s="230">
        <f>IFERROR(__xludf.DUMMYFUNCTION("""COMPUTED_VALUE"""),45883.66666666667)</f>
        <v>45883.66667</v>
      </c>
      <c r="B141" s="18">
        <f>IFERROR(__xludf.DUMMYFUNCTION("""COMPUTED_VALUE"""),644.95)</f>
        <v>644.95</v>
      </c>
      <c r="C141" s="18">
        <f>IFERROR(__xludf.DUMMYFUNCTION("IFERROR(VLOOKUP($A141, GOOGLEFINANCE(C$1, ""price"", $A$2, TODAY()), 2, FALSE), """")"),133.87)</f>
        <v>133.87</v>
      </c>
      <c r="D141" s="18">
        <f>IFERROR(__xludf.DUMMYFUNCTION("IFERROR(VLOOKUP($A141, GOOGLEFINANCE(D$1, ""price"", $A$2, TODAY()), 2, FALSE), """")"),114.8)</f>
        <v>114.8</v>
      </c>
      <c r="E141" s="18">
        <f>IFERROR(__xludf.DUMMYFUNCTION("IFERROR(VLOOKUP($A141, GOOGLEFINANCE(E$1, ""price"", $A$2, TODAY()), 2, FALSE), """")"),53.01)</f>
        <v>53.01</v>
      </c>
      <c r="F141" s="18">
        <f>IFERROR(__xludf.DUMMYFUNCTION("IFERROR(VLOOKUP($A141, GOOGLEFINANCE(F$1, ""price"", $A$2, TODAY()), 2, FALSE), """")"),111.2)</f>
        <v>111.2</v>
      </c>
      <c r="G141" s="18">
        <f>IFERROR(__xludf.DUMMYFUNCTION("IFERROR(VLOOKUP($A141, GOOGLEFINANCE(G$1, ""price"", $A$2, TODAY()), 2, FALSE), """")"),133.96)</f>
        <v>133.96</v>
      </c>
      <c r="H141" s="18">
        <f>IFERROR(__xludf.DUMMYFUNCTION("IFERROR(VLOOKUP($A141, GOOGLEFINANCE(H$1, ""price"", $A$2, TODAY()), 2, FALSE), """")"),81.89)</f>
        <v>81.89</v>
      </c>
      <c r="I141" s="18">
        <f>IFERROR(__xludf.DUMMYFUNCTION("IFERROR(VLOOKUP($A141, GOOGLEFINANCE(I$1, ""price"", $A$2, TODAY()), 2, FALSE), """")"),151.13)</f>
        <v>151.13</v>
      </c>
      <c r="J141" s="18">
        <f>IFERROR(__xludf.DUMMYFUNCTION("IFERROR(VLOOKUP($A141, GOOGLEFINANCE(J$1, ""price"", $A$2, TODAY()), 2, FALSE), """")"),42.78)</f>
        <v>42.78</v>
      </c>
      <c r="K141" s="18">
        <f>IFERROR(__xludf.DUMMYFUNCTION("IFERROR(VLOOKUP($A141, GOOGLEFINANCE(K$1, ""price"", $A$2, TODAY()), 2, FALSE), """")"),45.02)</f>
        <v>45.02</v>
      </c>
      <c r="L141" s="18">
        <f>IFERROR(__xludf.DUMMYFUNCTION("IFERROR(VLOOKUP($A141, GOOGLEFINANCE(L$1, ""price"", $A$2, TODAY()), 2, FALSE), """")"),42.94)</f>
        <v>42.94</v>
      </c>
      <c r="M141" s="196">
        <f>IFERROR(__xludf.DUMMYFUNCTION("IFERROR(VLOOKUP($A141, GOOGLEFINANCE(M$1, ""price"", $A$2, TODAY()), 2, FALSE), """")"),41.06)</f>
        <v>41.06</v>
      </c>
      <c r="O141" s="18">
        <v>0.20756647802155206</v>
      </c>
      <c r="P141" s="18">
        <v>0.17799829444142956</v>
      </c>
      <c r="Q141" s="18">
        <v>0.08219241801690053</v>
      </c>
      <c r="R141" s="18">
        <v>0.1724164663927436</v>
      </c>
      <c r="S141" s="18">
        <v>0.2077060237227692</v>
      </c>
      <c r="T141" s="18">
        <v>0.1269710830296922</v>
      </c>
      <c r="U141" s="18">
        <v>0.23432824249941853</v>
      </c>
      <c r="V141" s="18">
        <v>0.06633072331188464</v>
      </c>
      <c r="W141" s="18">
        <v>0.06980386076440034</v>
      </c>
      <c r="X141" s="18">
        <v>0.0665788045584929</v>
      </c>
      <c r="Y141" s="196">
        <v>0.0636638499108458</v>
      </c>
      <c r="AA141" s="18">
        <v>0.018993319222905924</v>
      </c>
      <c r="AB141" s="18">
        <v>6.025488198857509E-5</v>
      </c>
      <c r="AC141" s="18">
        <v>-0.008778154257284121</v>
      </c>
      <c r="AD141" s="18">
        <v>-0.001373505733088587</v>
      </c>
      <c r="AE141" s="18">
        <v>-0.03672239217012574</v>
      </c>
      <c r="AF141" s="18">
        <v>-0.02150513132628984</v>
      </c>
      <c r="AG141" s="18">
        <v>-0.01163183886046304</v>
      </c>
      <c r="AH141" s="18">
        <v>-0.02392935399702989</v>
      </c>
      <c r="AI141" s="18">
        <v>-0.01849903299082667</v>
      </c>
      <c r="AJ141" s="18">
        <v>-0.011120373050942711</v>
      </c>
      <c r="AK141" s="18">
        <v>-0.029233209912715052</v>
      </c>
    </row>
    <row r="142">
      <c r="A142" s="230">
        <f>IFERROR(__xludf.DUMMYFUNCTION("""COMPUTED_VALUE"""),45884.66666666667)</f>
        <v>45884.66667</v>
      </c>
      <c r="B142" s="18">
        <f>IFERROR(__xludf.DUMMYFUNCTION("""COMPUTED_VALUE"""),643.44)</f>
        <v>643.44</v>
      </c>
      <c r="C142" s="18">
        <f>IFERROR(__xludf.DUMMYFUNCTION("IFERROR(VLOOKUP($A142, GOOGLEFINANCE(C$1, ""price"", $A$2, TODAY()), 2, FALSE), """")"),132.85)</f>
        <v>132.85</v>
      </c>
      <c r="D142" s="18">
        <f>IFERROR(__xludf.DUMMYFUNCTION("IFERROR(VLOOKUP($A142, GOOGLEFINANCE(D$1, ""price"", $A$2, TODAY()), 2, FALSE), """")"),114.52)</f>
        <v>114.52</v>
      </c>
      <c r="E142" s="18">
        <f>IFERROR(__xludf.DUMMYFUNCTION("IFERROR(VLOOKUP($A142, GOOGLEFINANCE(E$1, ""price"", $A$2, TODAY()), 2, FALSE), """")"),52.46)</f>
        <v>52.46</v>
      </c>
      <c r="F142" s="18">
        <f>IFERROR(__xludf.DUMMYFUNCTION("IFERROR(VLOOKUP($A142, GOOGLEFINANCE(F$1, ""price"", $A$2, TODAY()), 2, FALSE), """")"),111.48)</f>
        <v>111.48</v>
      </c>
      <c r="G142" s="18">
        <f>IFERROR(__xludf.DUMMYFUNCTION("IFERROR(VLOOKUP($A142, GOOGLEFINANCE(G$1, ""price"", $A$2, TODAY()), 2, FALSE), """")"),136.21)</f>
        <v>136.21</v>
      </c>
      <c r="H142" s="18">
        <f>IFERROR(__xludf.DUMMYFUNCTION("IFERROR(VLOOKUP($A142, GOOGLEFINANCE(H$1, ""price"", $A$2, TODAY()), 2, FALSE), """")"),82.02)</f>
        <v>82.02</v>
      </c>
      <c r="I142" s="18">
        <f>IFERROR(__xludf.DUMMYFUNCTION("IFERROR(VLOOKUP($A142, GOOGLEFINANCE(I$1, ""price"", $A$2, TODAY()), 2, FALSE), """")"),150.44)</f>
        <v>150.44</v>
      </c>
      <c r="J142" s="18">
        <f>IFERROR(__xludf.DUMMYFUNCTION("IFERROR(VLOOKUP($A142, GOOGLEFINANCE(J$1, ""price"", $A$2, TODAY()), 2, FALSE), """")"),42.78)</f>
        <v>42.78</v>
      </c>
      <c r="K142" s="18">
        <f>IFERROR(__xludf.DUMMYFUNCTION("IFERROR(VLOOKUP($A142, GOOGLEFINANCE(K$1, ""price"", $A$2, TODAY()), 2, FALSE), """")"),45.02)</f>
        <v>45.02</v>
      </c>
      <c r="L142" s="18">
        <f>IFERROR(__xludf.DUMMYFUNCTION("IFERROR(VLOOKUP($A142, GOOGLEFINANCE(L$1, ""price"", $A$2, TODAY()), 2, FALSE), """")"),42.81)</f>
        <v>42.81</v>
      </c>
      <c r="M142" s="196">
        <f>IFERROR(__xludf.DUMMYFUNCTION("IFERROR(VLOOKUP($A142, GOOGLEFINANCE(M$1, ""price"", $A$2, TODAY()), 2, FALSE), """")"),41.33)</f>
        <v>41.33</v>
      </c>
      <c r="O142" s="18">
        <v>0.20646835757801812</v>
      </c>
      <c r="P142" s="18">
        <v>0.17798085291557875</v>
      </c>
      <c r="Q142" s="18">
        <v>0.08153052343652865</v>
      </c>
      <c r="R142" s="18">
        <v>0.1732562476687803</v>
      </c>
      <c r="S142" s="18">
        <v>0.21169028969290066</v>
      </c>
      <c r="T142" s="18">
        <v>0.12747109287579259</v>
      </c>
      <c r="U142" s="18">
        <v>0.23380579385801314</v>
      </c>
      <c r="V142" s="18">
        <v>0.0664863856769862</v>
      </c>
      <c r="W142" s="18">
        <v>0.06996767375357453</v>
      </c>
      <c r="X142" s="18">
        <v>0.06653301007086908</v>
      </c>
      <c r="Y142" s="196">
        <v>0.06423287330598035</v>
      </c>
      <c r="AA142" s="18">
        <v>0.015441626618938109</v>
      </c>
      <c r="AB142" s="18">
        <v>-0.014561782969093828</v>
      </c>
      <c r="AC142" s="18">
        <v>-0.017874517849051585</v>
      </c>
      <c r="AD142" s="18">
        <v>0.004437958702188549</v>
      </c>
      <c r="AE142" s="18">
        <v>-0.011320396310879888</v>
      </c>
      <c r="AF142" s="18">
        <v>-0.0025661338222661145</v>
      </c>
      <c r="AG142" s="18">
        <v>-0.014775912011790071</v>
      </c>
      <c r="AH142" s="18">
        <v>-0.026450430197050956</v>
      </c>
      <c r="AI142" s="18">
        <v>-0.0203766641371409</v>
      </c>
      <c r="AJ142" s="18">
        <v>-0.0019893833372263137</v>
      </c>
      <c r="AK142" s="18">
        <v>-0.021017584480817808</v>
      </c>
    </row>
    <row r="143">
      <c r="A143" s="230">
        <f>IFERROR(__xludf.DUMMYFUNCTION("""COMPUTED_VALUE"""),45887.66666666667)</f>
        <v>45887.66667</v>
      </c>
      <c r="B143" s="18">
        <f>IFERROR(__xludf.DUMMYFUNCTION("""COMPUTED_VALUE"""),643.3)</f>
        <v>643.3</v>
      </c>
      <c r="C143" s="18">
        <f>IFERROR(__xludf.DUMMYFUNCTION("IFERROR(VLOOKUP($A143, GOOGLEFINANCE(C$1, ""price"", $A$2, TODAY()), 2, FALSE), """")"),133.14)</f>
        <v>133.14</v>
      </c>
      <c r="D143" s="18">
        <f>IFERROR(__xludf.DUMMYFUNCTION("IFERROR(VLOOKUP($A143, GOOGLEFINANCE(D$1, ""price"", $A$2, TODAY()), 2, FALSE), """")"),114.98)</f>
        <v>114.98</v>
      </c>
      <c r="E143" s="18">
        <f>IFERROR(__xludf.DUMMYFUNCTION("IFERROR(VLOOKUP($A143, GOOGLEFINANCE(E$1, ""price"", $A$2, TODAY()), 2, FALSE), """")"),52.5)</f>
        <v>52.5</v>
      </c>
      <c r="F143" s="18">
        <f>IFERROR(__xludf.DUMMYFUNCTION("IFERROR(VLOOKUP($A143, GOOGLEFINANCE(F$1, ""price"", $A$2, TODAY()), 2, FALSE), """")"),110.8)</f>
        <v>110.8</v>
      </c>
      <c r="G143" s="18">
        <f>IFERROR(__xludf.DUMMYFUNCTION("IFERROR(VLOOKUP($A143, GOOGLEFINANCE(G$1, ""price"", $A$2, TODAY()), 2, FALSE), """")"),135.89)</f>
        <v>135.89</v>
      </c>
      <c r="H143" s="18">
        <f>IFERROR(__xludf.DUMMYFUNCTION("IFERROR(VLOOKUP($A143, GOOGLEFINANCE(H$1, ""price"", $A$2, TODAY()), 2, FALSE), """")"),81.91)</f>
        <v>81.91</v>
      </c>
      <c r="I143" s="18">
        <f>IFERROR(__xludf.DUMMYFUNCTION("IFERROR(VLOOKUP($A143, GOOGLEFINANCE(I$1, ""price"", $A$2, TODAY()), 2, FALSE), """")"),151.03)</f>
        <v>151.03</v>
      </c>
      <c r="J143" s="18">
        <f>IFERROR(__xludf.DUMMYFUNCTION("IFERROR(VLOOKUP($A143, GOOGLEFINANCE(J$1, ""price"", $A$2, TODAY()), 2, FALSE), """")"),42.53)</f>
        <v>42.53</v>
      </c>
      <c r="K143" s="18">
        <f>IFERROR(__xludf.DUMMYFUNCTION("IFERROR(VLOOKUP($A143, GOOGLEFINANCE(K$1, ""price"", $A$2, TODAY()), 2, FALSE), """")"),44.76)</f>
        <v>44.76</v>
      </c>
      <c r="L143" s="18">
        <f>IFERROR(__xludf.DUMMYFUNCTION("IFERROR(VLOOKUP($A143, GOOGLEFINANCE(L$1, ""price"", $A$2, TODAY()), 2, FALSE), """")"),42.63)</f>
        <v>42.63</v>
      </c>
      <c r="M143" s="196">
        <f>IFERROR(__xludf.DUMMYFUNCTION("IFERROR(VLOOKUP($A143, GOOGLEFINANCE(M$1, ""price"", $A$2, TODAY()), 2, FALSE), """")"),40.94)</f>
        <v>40.94</v>
      </c>
      <c r="O143" s="18">
        <v>0.20696409140369967</v>
      </c>
      <c r="P143" s="18">
        <v>0.1787346494637028</v>
      </c>
      <c r="Q143" s="18">
        <v>0.08161044613710555</v>
      </c>
      <c r="R143" s="18">
        <v>0.17223690346650086</v>
      </c>
      <c r="S143" s="18">
        <v>0.21123892429659566</v>
      </c>
      <c r="T143" s="18">
        <v>0.12732784082076792</v>
      </c>
      <c r="U143" s="18">
        <v>0.23477382247784861</v>
      </c>
      <c r="V143" s="18">
        <v>0.06611223379449713</v>
      </c>
      <c r="W143" s="18">
        <v>0.06957873464946371</v>
      </c>
      <c r="X143" s="18">
        <v>0.06626768226332971</v>
      </c>
      <c r="Y143" s="196">
        <v>0.06364060314005907</v>
      </c>
      <c r="AA143" s="18">
        <v>0.007752218756575058</v>
      </c>
      <c r="AB143" s="18">
        <v>-0.00935694627617012</v>
      </c>
      <c r="AC143" s="18">
        <v>-0.016552447404075576</v>
      </c>
      <c r="AD143" s="18">
        <v>0.0014153874875166839</v>
      </c>
      <c r="AE143" s="18">
        <v>0.004743551671529955</v>
      </c>
      <c r="AF143" s="18">
        <v>0.029473990349024648</v>
      </c>
      <c r="AG143" s="18">
        <v>-0.006978041439671956</v>
      </c>
      <c r="AH143" s="18">
        <v>-0.04557172961234557</v>
      </c>
      <c r="AI143" s="18">
        <v>-0.020159885227213792</v>
      </c>
      <c r="AJ143" s="18">
        <v>0.01612533965784313</v>
      </c>
      <c r="AK143" s="18">
        <v>-0.018591725531199477</v>
      </c>
    </row>
    <row r="144">
      <c r="A144" s="230">
        <f>IFERROR(__xludf.DUMMYFUNCTION("""COMPUTED_VALUE"""),45888.66666666667)</f>
        <v>45888.66667</v>
      </c>
      <c r="B144" s="18">
        <f>IFERROR(__xludf.DUMMYFUNCTION("""COMPUTED_VALUE"""),639.81)</f>
        <v>639.81</v>
      </c>
      <c r="C144" s="18">
        <f>IFERROR(__xludf.DUMMYFUNCTION("IFERROR(VLOOKUP($A144, GOOGLEFINANCE(C$1, ""price"", $A$2, TODAY()), 2, FALSE), """")"),130.81)</f>
        <v>130.81</v>
      </c>
      <c r="D144" s="18">
        <f>IFERROR(__xludf.DUMMYFUNCTION("IFERROR(VLOOKUP($A144, GOOGLEFINANCE(D$1, ""price"", $A$2, TODAY()), 2, FALSE), """")"),114.93)</f>
        <v>114.93</v>
      </c>
      <c r="E144" s="18">
        <f>IFERROR(__xludf.DUMMYFUNCTION("IFERROR(VLOOKUP($A144, GOOGLEFINANCE(E$1, ""price"", $A$2, TODAY()), 2, FALSE), """")"),52.6)</f>
        <v>52.6</v>
      </c>
      <c r="F144" s="18">
        <f>IFERROR(__xludf.DUMMYFUNCTION("IFERROR(VLOOKUP($A144, GOOGLEFINANCE(F$1, ""price"", $A$2, TODAY()), 2, FALSE), """")"),110.18)</f>
        <v>110.18</v>
      </c>
      <c r="G144" s="18">
        <f>IFERROR(__xludf.DUMMYFUNCTION("IFERROR(VLOOKUP($A144, GOOGLEFINANCE(G$1, ""price"", $A$2, TODAY()), 2, FALSE), """")"),136.76)</f>
        <v>136.76</v>
      </c>
      <c r="H144" s="18">
        <f>IFERROR(__xludf.DUMMYFUNCTION("IFERROR(VLOOKUP($A144, GOOGLEFINANCE(H$1, ""price"", $A$2, TODAY()), 2, FALSE), """")"),82.75)</f>
        <v>82.75</v>
      </c>
      <c r="I144" s="18">
        <f>IFERROR(__xludf.DUMMYFUNCTION("IFERROR(VLOOKUP($A144, GOOGLEFINANCE(I$1, ""price"", $A$2, TODAY()), 2, FALSE), """")"),151.36)</f>
        <v>151.36</v>
      </c>
      <c r="J144" s="18">
        <f>IFERROR(__xludf.DUMMYFUNCTION("IFERROR(VLOOKUP($A144, GOOGLEFINANCE(J$1, ""price"", $A$2, TODAY()), 2, FALSE), """")"),42.54)</f>
        <v>42.54</v>
      </c>
      <c r="K144" s="18">
        <f>IFERROR(__xludf.DUMMYFUNCTION("IFERROR(VLOOKUP($A144, GOOGLEFINANCE(K$1, ""price"", $A$2, TODAY()), 2, FALSE), """")"),45.03)</f>
        <v>45.03</v>
      </c>
      <c r="L144" s="18">
        <f>IFERROR(__xludf.DUMMYFUNCTION("IFERROR(VLOOKUP($A144, GOOGLEFINANCE(L$1, ""price"", $A$2, TODAY()), 2, FALSE), """")"),43.04)</f>
        <v>43.04</v>
      </c>
      <c r="M144" s="196">
        <f>IFERROR(__xludf.DUMMYFUNCTION("IFERROR(VLOOKUP($A144, GOOGLEFINANCE(M$1, ""price"", $A$2, TODAY()), 2, FALSE), """")"),41.67)</f>
        <v>41.67</v>
      </c>
      <c r="O144" s="18">
        <v>0.2044513214860662</v>
      </c>
      <c r="P144" s="18">
        <v>0.17963145308763542</v>
      </c>
      <c r="Q144" s="18">
        <v>0.08221190665978964</v>
      </c>
      <c r="R144" s="18">
        <v>0.17220737406417533</v>
      </c>
      <c r="S144" s="18">
        <v>0.21375095731545302</v>
      </c>
      <c r="T144" s="18">
        <v>0.12933527140869946</v>
      </c>
      <c r="U144" s="18">
        <v>0.23657023178756198</v>
      </c>
      <c r="V144" s="18">
        <v>0.06648848877010363</v>
      </c>
      <c r="W144" s="18">
        <v>0.07038026914240166</v>
      </c>
      <c r="X144" s="18">
        <v>0.06726997077257311</v>
      </c>
      <c r="Y144" s="196">
        <v>0.06512871008580673</v>
      </c>
      <c r="AA144" s="18">
        <v>0.004963231917907596</v>
      </c>
      <c r="AB144" s="18">
        <v>1.0950325185277165E-5</v>
      </c>
      <c r="AC144" s="18">
        <v>-0.017766430989122117</v>
      </c>
      <c r="AD144" s="18">
        <v>-0.0027617682009489775</v>
      </c>
      <c r="AE144" s="18">
        <v>0.00327479455965185</v>
      </c>
      <c r="AF144" s="18">
        <v>0.03277688564225767</v>
      </c>
      <c r="AG144" s="18">
        <v>0.0038788764855395286</v>
      </c>
      <c r="AH144" s="18">
        <v>-0.051141599974439345</v>
      </c>
      <c r="AI144" s="18">
        <v>-0.016064312737187114</v>
      </c>
      <c r="AJ144" s="18">
        <v>0.029233743995452866</v>
      </c>
      <c r="AK144" s="18">
        <v>-0.007060400830781743</v>
      </c>
    </row>
    <row r="145">
      <c r="A145" s="230">
        <f>IFERROR(__xludf.DUMMYFUNCTION("""COMPUTED_VALUE"""),45889.66666666667)</f>
        <v>45889.66667</v>
      </c>
      <c r="B145" s="18">
        <f>IFERROR(__xludf.DUMMYFUNCTION("""COMPUTED_VALUE"""),638.11)</f>
        <v>638.11</v>
      </c>
      <c r="C145" s="18">
        <f>IFERROR(__xludf.DUMMYFUNCTION("IFERROR(VLOOKUP($A145, GOOGLEFINANCE(C$1, ""price"", $A$2, TODAY()), 2, FALSE), """")"),129.93)</f>
        <v>129.93</v>
      </c>
      <c r="D145" s="18">
        <f>IFERROR(__xludf.DUMMYFUNCTION("IFERROR(VLOOKUP($A145, GOOGLEFINANCE(D$1, ""price"", $A$2, TODAY()), 2, FALSE), """")"),113.79)</f>
        <v>113.79</v>
      </c>
      <c r="E145" s="18">
        <f>IFERROR(__xludf.DUMMYFUNCTION("IFERROR(VLOOKUP($A145, GOOGLEFINANCE(E$1, ""price"", $A$2, TODAY()), 2, FALSE), """")"),52.87)</f>
        <v>52.87</v>
      </c>
      <c r="F145" s="18">
        <f>IFERROR(__xludf.DUMMYFUNCTION("IFERROR(VLOOKUP($A145, GOOGLEFINANCE(F$1, ""price"", $A$2, TODAY()), 2, FALSE), """")"),109.85)</f>
        <v>109.85</v>
      </c>
      <c r="G145" s="18">
        <f>IFERROR(__xludf.DUMMYFUNCTION("IFERROR(VLOOKUP($A145, GOOGLEFINANCE(G$1, ""price"", $A$2, TODAY()), 2, FALSE), """")"),137.5)</f>
        <v>137.5</v>
      </c>
      <c r="H145" s="18">
        <f>IFERROR(__xludf.DUMMYFUNCTION("IFERROR(VLOOKUP($A145, GOOGLEFINANCE(H$1, ""price"", $A$2, TODAY()), 2, FALSE), """")"),83.22)</f>
        <v>83.22</v>
      </c>
      <c r="I145" s="18">
        <f>IFERROR(__xludf.DUMMYFUNCTION("IFERROR(VLOOKUP($A145, GOOGLEFINANCE(I$1, ""price"", $A$2, TODAY()), 2, FALSE), """")"),151.22)</f>
        <v>151.22</v>
      </c>
      <c r="J145" s="18">
        <f>IFERROR(__xludf.DUMMYFUNCTION("IFERROR(VLOOKUP($A145, GOOGLEFINANCE(J$1, ""price"", $A$2, TODAY()), 2, FALSE), """")"),42.9)</f>
        <v>42.9</v>
      </c>
      <c r="K145" s="18">
        <f>IFERROR(__xludf.DUMMYFUNCTION("IFERROR(VLOOKUP($A145, GOOGLEFINANCE(K$1, ""price"", $A$2, TODAY()), 2, FALSE), """")"),45.06)</f>
        <v>45.06</v>
      </c>
      <c r="L145" s="18">
        <f>IFERROR(__xludf.DUMMYFUNCTION("IFERROR(VLOOKUP($A145, GOOGLEFINANCE(L$1, ""price"", $A$2, TODAY()), 2, FALSE), """")"),43.09)</f>
        <v>43.09</v>
      </c>
      <c r="M145" s="196">
        <f>IFERROR(__xludf.DUMMYFUNCTION("IFERROR(VLOOKUP($A145, GOOGLEFINANCE(M$1, ""price"", $A$2, TODAY()), 2, FALSE), """")"),41.83)</f>
        <v>41.83</v>
      </c>
      <c r="O145" s="18">
        <v>0.20361693125009794</v>
      </c>
      <c r="P145" s="18">
        <v>0.17832348654620678</v>
      </c>
      <c r="Q145" s="18">
        <v>0.08285405337637711</v>
      </c>
      <c r="R145" s="18">
        <v>0.17214900252307594</v>
      </c>
      <c r="S145" s="18">
        <v>0.2154800896397173</v>
      </c>
      <c r="T145" s="18">
        <v>0.13041638588958016</v>
      </c>
      <c r="U145" s="18">
        <v>0.23698108476594945</v>
      </c>
      <c r="V145" s="18">
        <v>0.0672297879675918</v>
      </c>
      <c r="W145" s="18">
        <v>0.07061478428484118</v>
      </c>
      <c r="X145" s="18">
        <v>0.06752754227327577</v>
      </c>
      <c r="Y145" s="196">
        <v>0.06555296108821362</v>
      </c>
      <c r="AA145" s="18">
        <v>0.003616724953812156</v>
      </c>
      <c r="AB145" s="18">
        <v>-0.007258684193202303</v>
      </c>
      <c r="AC145" s="18">
        <v>-0.010095824681974785</v>
      </c>
      <c r="AD145" s="18">
        <v>-0.008796386281925916</v>
      </c>
      <c r="AE145" s="18">
        <v>0.002947346566020581</v>
      </c>
      <c r="AF145" s="18">
        <v>0.03535895094260977</v>
      </c>
      <c r="AG145" s="18">
        <v>0.007783469335111759</v>
      </c>
      <c r="AH145" s="18">
        <v>-0.048934680910075135</v>
      </c>
      <c r="AI145" s="18">
        <v>-0.012826901003160085</v>
      </c>
      <c r="AJ145" s="18">
        <v>0.02893525681366671</v>
      </c>
      <c r="AK145" s="18">
        <v>0.009175147774718395</v>
      </c>
    </row>
    <row r="146">
      <c r="A146" s="230">
        <f>IFERROR(__xludf.DUMMYFUNCTION("""COMPUTED_VALUE"""),45890.66666666667)</f>
        <v>45890.66667</v>
      </c>
      <c r="B146" s="18">
        <f>IFERROR(__xludf.DUMMYFUNCTION("""COMPUTED_VALUE"""),635.55)</f>
        <v>635.55</v>
      </c>
      <c r="C146" s="18">
        <f>IFERROR(__xludf.DUMMYFUNCTION("IFERROR(VLOOKUP($A146, GOOGLEFINANCE(C$1, ""price"", $A$2, TODAY()), 2, FALSE), """")"),129.46)</f>
        <v>129.46</v>
      </c>
      <c r="D146" s="18">
        <f>IFERROR(__xludf.DUMMYFUNCTION("IFERROR(VLOOKUP($A146, GOOGLEFINANCE(D$1, ""price"", $A$2, TODAY()), 2, FALSE), """")"),113.12)</f>
        <v>113.12</v>
      </c>
      <c r="E146" s="18">
        <f>IFERROR(__xludf.DUMMYFUNCTION("IFERROR(VLOOKUP($A146, GOOGLEFINANCE(E$1, ""price"", $A$2, TODAY()), 2, FALSE), """")"),52.7)</f>
        <v>52.7</v>
      </c>
      <c r="F146" s="18">
        <f>IFERROR(__xludf.DUMMYFUNCTION("IFERROR(VLOOKUP($A146, GOOGLEFINANCE(F$1, ""price"", $A$2, TODAY()), 2, FALSE), """")"),109.73)</f>
        <v>109.73</v>
      </c>
      <c r="G146" s="18">
        <f>IFERROR(__xludf.DUMMYFUNCTION("IFERROR(VLOOKUP($A146, GOOGLEFINANCE(G$1, ""price"", $A$2, TODAY()), 2, FALSE), """")"),137.04)</f>
        <v>137.04</v>
      </c>
      <c r="H146" s="18">
        <f>IFERROR(__xludf.DUMMYFUNCTION("IFERROR(VLOOKUP($A146, GOOGLEFINANCE(H$1, ""price"", $A$2, TODAY()), 2, FALSE), """")"),82.47)</f>
        <v>82.47</v>
      </c>
      <c r="I146" s="18">
        <f>IFERROR(__xludf.DUMMYFUNCTION("IFERROR(VLOOKUP($A146, GOOGLEFINANCE(I$1, ""price"", $A$2, TODAY()), 2, FALSE), """")"),150.68)</f>
        <v>150.68</v>
      </c>
      <c r="J146" s="18">
        <f>IFERROR(__xludf.DUMMYFUNCTION("IFERROR(VLOOKUP($A146, GOOGLEFINANCE(J$1, ""price"", $A$2, TODAY()), 2, FALSE), """")"),43.19)</f>
        <v>43.19</v>
      </c>
      <c r="K146" s="18">
        <f>IFERROR(__xludf.DUMMYFUNCTION("IFERROR(VLOOKUP($A146, GOOGLEFINANCE(K$1, ""price"", $A$2, TODAY()), 2, FALSE), """")"),45.2)</f>
        <v>45.2</v>
      </c>
      <c r="L146" s="18">
        <f>IFERROR(__xludf.DUMMYFUNCTION("IFERROR(VLOOKUP($A146, GOOGLEFINANCE(L$1, ""price"", $A$2, TODAY()), 2, FALSE), """")"),42.79)</f>
        <v>42.79</v>
      </c>
      <c r="M146" s="196">
        <f>IFERROR(__xludf.DUMMYFUNCTION("IFERROR(VLOOKUP($A146, GOOGLEFINANCE(M$1, ""price"", $A$2, TODAY()), 2, FALSE), """")"),41.68)</f>
        <v>41.68</v>
      </c>
      <c r="O146" s="18">
        <v>0.20369758476909766</v>
      </c>
      <c r="P146" s="18">
        <v>0.17798756982141453</v>
      </c>
      <c r="Q146" s="18">
        <v>0.0829203052474235</v>
      </c>
      <c r="R146" s="18">
        <v>0.1726536071119503</v>
      </c>
      <c r="S146" s="18">
        <v>0.2156242624498466</v>
      </c>
      <c r="T146" s="18">
        <v>0.12976162379041775</v>
      </c>
      <c r="U146" s="18">
        <v>0.23708598851388563</v>
      </c>
      <c r="V146" s="18">
        <v>0.06795688773503265</v>
      </c>
      <c r="W146" s="18">
        <v>0.07111950279285659</v>
      </c>
      <c r="X146" s="18">
        <v>0.06732751160412241</v>
      </c>
      <c r="Y146" s="196">
        <v>0.06558099284084652</v>
      </c>
      <c r="AA146" s="18">
        <v>0.003430388883217894</v>
      </c>
      <c r="AB146" s="18">
        <v>-0.007727390691630753</v>
      </c>
      <c r="AC146" s="18">
        <v>-0.002259489720067176</v>
      </c>
      <c r="AD146" s="18">
        <v>-0.016946461681877856</v>
      </c>
      <c r="AE146" s="18">
        <v>0.013848241249464932</v>
      </c>
      <c r="AF146" s="18">
        <v>0.03651504775832648</v>
      </c>
      <c r="AG146" s="18">
        <v>0.018836677209137065</v>
      </c>
      <c r="AH146" s="18">
        <v>-0.011377018970623265</v>
      </c>
      <c r="AI146" s="18">
        <v>0.006429297161431036</v>
      </c>
      <c r="AJ146" s="18">
        <v>0.0339077366421221</v>
      </c>
      <c r="AK146" s="18">
        <v>0.017770210495818395</v>
      </c>
    </row>
    <row r="147">
      <c r="A147" s="230">
        <f>IFERROR(__xludf.DUMMYFUNCTION("""COMPUTED_VALUE"""),45891.66666666667)</f>
        <v>45891.66667</v>
      </c>
      <c r="B147" s="18">
        <f>IFERROR(__xludf.DUMMYFUNCTION("""COMPUTED_VALUE"""),645.31)</f>
        <v>645.31</v>
      </c>
      <c r="C147" s="18">
        <f>IFERROR(__xludf.DUMMYFUNCTION("IFERROR(VLOOKUP($A147, GOOGLEFINANCE(C$1, ""price"", $A$2, TODAY()), 2, FALSE), """")"),131.21)</f>
        <v>131.21</v>
      </c>
      <c r="D147" s="18">
        <f>IFERROR(__xludf.DUMMYFUNCTION("IFERROR(VLOOKUP($A147, GOOGLEFINANCE(D$1, ""price"", $A$2, TODAY()), 2, FALSE), """")"),116.55)</f>
        <v>116.55</v>
      </c>
      <c r="E147" s="18">
        <f>IFERROR(__xludf.DUMMYFUNCTION("IFERROR(VLOOKUP($A147, GOOGLEFINANCE(E$1, ""price"", $A$2, TODAY()), 2, FALSE), """")"),53.57)</f>
        <v>53.57</v>
      </c>
      <c r="F147" s="18">
        <f>IFERROR(__xludf.DUMMYFUNCTION("IFERROR(VLOOKUP($A147, GOOGLEFINANCE(F$1, ""price"", $A$2, TODAY()), 2, FALSE), """")"),111.31)</f>
        <v>111.31</v>
      </c>
      <c r="G147" s="18">
        <f>IFERROR(__xludf.DUMMYFUNCTION("IFERROR(VLOOKUP($A147, GOOGLEFINANCE(G$1, ""price"", $A$2, TODAY()), 2, FALSE), """")"),138.17)</f>
        <v>138.17</v>
      </c>
      <c r="H147" s="18">
        <f>IFERROR(__xludf.DUMMYFUNCTION("IFERROR(VLOOKUP($A147, GOOGLEFINANCE(H$1, ""price"", $A$2, TODAY()), 2, FALSE), """")"),82.47)</f>
        <v>82.47</v>
      </c>
      <c r="I147" s="18">
        <f>IFERROR(__xludf.DUMMYFUNCTION("IFERROR(VLOOKUP($A147, GOOGLEFINANCE(I$1, ""price"", $A$2, TODAY()), 2, FALSE), """")"),153.14)</f>
        <v>153.14</v>
      </c>
      <c r="J147" s="18">
        <f>IFERROR(__xludf.DUMMYFUNCTION("IFERROR(VLOOKUP($A147, GOOGLEFINANCE(J$1, ""price"", $A$2, TODAY()), 2, FALSE), """")"),44.07)</f>
        <v>44.07</v>
      </c>
      <c r="K147" s="18">
        <f>IFERROR(__xludf.DUMMYFUNCTION("IFERROR(VLOOKUP($A147, GOOGLEFINANCE(K$1, ""price"", $A$2, TODAY()), 2, FALSE), """")"),46.09)</f>
        <v>46.09</v>
      </c>
      <c r="L147" s="18">
        <f>IFERROR(__xludf.DUMMYFUNCTION("IFERROR(VLOOKUP($A147, GOOGLEFINANCE(L$1, ""price"", $A$2, TODAY()), 2, FALSE), """")"),43.02)</f>
        <v>43.02</v>
      </c>
      <c r="M147" s="196">
        <f>IFERROR(__xludf.DUMMYFUNCTION("IFERROR(VLOOKUP($A147, GOOGLEFINANCE(M$1, ""price"", $A$2, TODAY()), 2, FALSE), """")"),42.34)</f>
        <v>42.34</v>
      </c>
      <c r="O147" s="18">
        <v>0.20332863275015112</v>
      </c>
      <c r="P147" s="18">
        <v>0.18061086919465064</v>
      </c>
      <c r="Q147" s="18">
        <v>0.08301436518882398</v>
      </c>
      <c r="R147" s="18">
        <v>0.1724907408842262</v>
      </c>
      <c r="S147" s="18">
        <v>0.21411414668918813</v>
      </c>
      <c r="T147" s="18">
        <v>0.12779904232074507</v>
      </c>
      <c r="U147" s="18">
        <v>0.2373122995149618</v>
      </c>
      <c r="V147" s="18">
        <v>0.06829275851916133</v>
      </c>
      <c r="W147" s="18">
        <v>0.07142303698997382</v>
      </c>
      <c r="X147" s="18">
        <v>0.06666563357146178</v>
      </c>
      <c r="Y147" s="196">
        <v>0.0656118764624754</v>
      </c>
      <c r="AA147" s="18">
        <v>0.005061545010494273</v>
      </c>
      <c r="AB147" s="18">
        <v>-0.002907574318492645</v>
      </c>
      <c r="AC147" s="18">
        <v>-0.003213378997976024</v>
      </c>
      <c r="AD147" s="18">
        <v>-0.018520426693820924</v>
      </c>
      <c r="AE147" s="18">
        <v>0.011320489695741731</v>
      </c>
      <c r="AF147" s="18">
        <v>0.028731576776314993</v>
      </c>
      <c r="AG147" s="18">
        <v>0.0168602538857483</v>
      </c>
      <c r="AH147" s="18">
        <v>-0.004710475753075816</v>
      </c>
      <c r="AI147" s="18">
        <v>0.015377174133416771</v>
      </c>
      <c r="AJ147" s="18">
        <v>0.03353226806561449</v>
      </c>
      <c r="AK147" s="18">
        <v>0.019875029916715414</v>
      </c>
    </row>
    <row r="148">
      <c r="A148" s="230">
        <f>IFERROR(__xludf.DUMMYFUNCTION("""COMPUTED_VALUE"""),45897.66666666667)</f>
        <v>45897.66667</v>
      </c>
      <c r="B148" s="18">
        <f>IFERROR(__xludf.DUMMYFUNCTION("""COMPUTED_VALUE"""),648.92)</f>
        <v>648.92</v>
      </c>
      <c r="C148" s="18">
        <f>IFERROR(__xludf.DUMMYFUNCTION("IFERROR(VLOOKUP($A148, GOOGLEFINANCE(C$1, ""price"", $A$2, TODAY()), 2, FALSE), """")"),133.27)</f>
        <v>133.27</v>
      </c>
      <c r="D148" s="18">
        <f>IFERROR(__xludf.DUMMYFUNCTION("IFERROR(VLOOKUP($A148, GOOGLEFINANCE(D$1, ""price"", $A$2, TODAY()), 2, FALSE), """")"),117.08)</f>
        <v>117.08</v>
      </c>
      <c r="E148" s="18">
        <f>IFERROR(__xludf.DUMMYFUNCTION("IFERROR(VLOOKUP($A148, GOOGLEFINANCE(E$1, ""price"", $A$2, TODAY()), 2, FALSE), """")"),53.85)</f>
        <v>53.85</v>
      </c>
      <c r="F148" s="18">
        <f>IFERROR(__xludf.DUMMYFUNCTION("IFERROR(VLOOKUP($A148, GOOGLEFINANCE(F$1, ""price"", $A$2, TODAY()), 2, FALSE), """")"),111.61)</f>
        <v>111.61</v>
      </c>
      <c r="G148" s="18">
        <f>IFERROR(__xludf.DUMMYFUNCTION("IFERROR(VLOOKUP($A148, GOOGLEFINANCE(G$1, ""price"", $A$2, TODAY()), 2, FALSE), """")"),136.43)</f>
        <v>136.43</v>
      </c>
      <c r="H148" s="18">
        <f>IFERROR(__xludf.DUMMYFUNCTION("IFERROR(VLOOKUP($A148, GOOGLEFINANCE(H$1, ""price"", $A$2, TODAY()), 2, FALSE), """")"),80.26)</f>
        <v>80.26</v>
      </c>
      <c r="I148" s="18">
        <f>IFERROR(__xludf.DUMMYFUNCTION("IFERROR(VLOOKUP($A148, GOOGLEFINANCE(I$1, ""price"", $A$2, TODAY()), 2, FALSE), """")"),153.42)</f>
        <v>153.42</v>
      </c>
      <c r="J148" s="18">
        <f>IFERROR(__xludf.DUMMYFUNCTION("IFERROR(VLOOKUP($A148, GOOGLEFINANCE(J$1, ""price"", $A$2, TODAY()), 2, FALSE), """")"),44.95)</f>
        <v>44.95</v>
      </c>
      <c r="K148" s="18">
        <f>IFERROR(__xludf.DUMMYFUNCTION("IFERROR(VLOOKUP($A148, GOOGLEFINANCE(K$1, ""price"", $A$2, TODAY()), 2, FALSE), """")"),46.08)</f>
        <v>46.08</v>
      </c>
      <c r="L148" s="18">
        <f>IFERROR(__xludf.DUMMYFUNCTION("IFERROR(VLOOKUP($A148, GOOGLEFINANCE(L$1, ""price"", $A$2, TODAY()), 2, FALSE), """")"),42.32)</f>
        <v>42.32</v>
      </c>
      <c r="M148" s="196">
        <f>IFERROR(__xludf.DUMMYFUNCTION("IFERROR(VLOOKUP($A148, GOOGLEFINANCE(M$1, ""price"", $A$2, TODAY()), 2, FALSE), """")"),42.08)</f>
        <v>42.08</v>
      </c>
      <c r="O148" s="18">
        <v>0.20537200271219877</v>
      </c>
      <c r="P148" s="18">
        <v>0.18042285643838996</v>
      </c>
      <c r="Q148" s="18">
        <v>0.08298403501201998</v>
      </c>
      <c r="R148" s="18">
        <v>0.17199346606669544</v>
      </c>
      <c r="S148" s="18">
        <v>0.21024163225050857</v>
      </c>
      <c r="T148" s="18">
        <v>0.12368242618504593</v>
      </c>
      <c r="U148" s="18">
        <v>0.23642359612895272</v>
      </c>
      <c r="V148" s="18">
        <v>0.06926893916045122</v>
      </c>
      <c r="W148" s="18">
        <v>0.07101029402699871</v>
      </c>
      <c r="X148" s="18">
        <v>0.06521605128521235</v>
      </c>
      <c r="Y148" s="196">
        <v>0.06484620600382174</v>
      </c>
      <c r="AA148" s="18">
        <v>0.011374686414391988</v>
      </c>
      <c r="AB148" s="18">
        <v>-0.006661367802113793</v>
      </c>
      <c r="AC148" s="18">
        <v>0.01207060149198802</v>
      </c>
      <c r="AD148" s="18">
        <v>-0.029374392039341113</v>
      </c>
      <c r="AE148" s="18">
        <v>-0.013221217854828438</v>
      </c>
      <c r="AF148" s="18">
        <v>-0.010112359045268526</v>
      </c>
      <c r="AG148" s="18">
        <v>0.013866085990216437</v>
      </c>
      <c r="AH148" s="18">
        <v>0.02641090160738213</v>
      </c>
      <c r="AI148" s="18">
        <v>-4.196888639701468E-4</v>
      </c>
      <c r="AJ148" s="18">
        <v>0.011270652463843955</v>
      </c>
      <c r="AK148" s="18">
        <v>-0.004953571030972492</v>
      </c>
    </row>
    <row r="149">
      <c r="A149" s="230">
        <f>IFERROR(__xludf.DUMMYFUNCTION("""COMPUTED_VALUE"""),45898.66666666667)</f>
        <v>45898.66667</v>
      </c>
      <c r="B149" s="18">
        <f>IFERROR(__xludf.DUMMYFUNCTION("""COMPUTED_VALUE"""),645.05)</f>
        <v>645.05</v>
      </c>
      <c r="C149" s="18">
        <f>IFERROR(__xludf.DUMMYFUNCTION("IFERROR(VLOOKUP($A149, GOOGLEFINANCE(C$1, ""price"", $A$2, TODAY()), 2, FALSE), """")"),131.23)</f>
        <v>131.23</v>
      </c>
      <c r="D149" s="18">
        <f>IFERROR(__xludf.DUMMYFUNCTION("IFERROR(VLOOKUP($A149, GOOGLEFINANCE(D$1, ""price"", $A$2, TODAY()), 2, FALSE), """")"),115.87)</f>
        <v>115.87</v>
      </c>
      <c r="E149" s="18">
        <f>IFERROR(__xludf.DUMMYFUNCTION("IFERROR(VLOOKUP($A149, GOOGLEFINANCE(E$1, ""price"", $A$2, TODAY()), 2, FALSE), """")"),53.99)</f>
        <v>53.99</v>
      </c>
      <c r="F149" s="18">
        <f>IFERROR(__xludf.DUMMYFUNCTION("IFERROR(VLOOKUP($A149, GOOGLEFINANCE(F$1, ""price"", $A$2, TODAY()), 2, FALSE), """")"),111.39)</f>
        <v>111.39</v>
      </c>
      <c r="G149" s="18">
        <f>IFERROR(__xludf.DUMMYFUNCTION("IFERROR(VLOOKUP($A149, GOOGLEFINANCE(G$1, ""price"", $A$2, TODAY()), 2, FALSE), """")"),137.43)</f>
        <v>137.43</v>
      </c>
      <c r="H149" s="18">
        <f>IFERROR(__xludf.DUMMYFUNCTION("IFERROR(VLOOKUP($A149, GOOGLEFINANCE(H$1, ""price"", $A$2, TODAY()), 2, FALSE), """")"),80.78)</f>
        <v>80.78</v>
      </c>
      <c r="I149" s="18">
        <f>IFERROR(__xludf.DUMMYFUNCTION("IFERROR(VLOOKUP($A149, GOOGLEFINANCE(I$1, ""price"", $A$2, TODAY()), 2, FALSE), """")"),152.01)</f>
        <v>152.01</v>
      </c>
      <c r="J149" s="18">
        <f>IFERROR(__xludf.DUMMYFUNCTION("IFERROR(VLOOKUP($A149, GOOGLEFINANCE(J$1, ""price"", $A$2, TODAY()), 2, FALSE), """")"),45.2)</f>
        <v>45.2</v>
      </c>
      <c r="K149" s="18">
        <f>IFERROR(__xludf.DUMMYFUNCTION("IFERROR(VLOOKUP($A149, GOOGLEFINANCE(K$1, ""price"", $A$2, TODAY()), 2, FALSE), """")"),46.14)</f>
        <v>46.14</v>
      </c>
      <c r="L149" s="18">
        <f>IFERROR(__xludf.DUMMYFUNCTION("IFERROR(VLOOKUP($A149, GOOGLEFINANCE(L$1, ""price"", $A$2, TODAY()), 2, FALSE), """")"),42.16)</f>
        <v>42.16</v>
      </c>
      <c r="M149" s="196">
        <f>IFERROR(__xludf.DUMMYFUNCTION("IFERROR(VLOOKUP($A149, GOOGLEFINANCE(M$1, ""price"", $A$2, TODAY()), 2, FALSE), """")"),42.31)</f>
        <v>42.31</v>
      </c>
      <c r="O149" s="18">
        <v>0.2034415936749089</v>
      </c>
      <c r="P149" s="18">
        <v>0.1796294860863499</v>
      </c>
      <c r="Q149" s="18">
        <v>0.08369893806681654</v>
      </c>
      <c r="R149" s="18">
        <v>0.17268428803968686</v>
      </c>
      <c r="S149" s="18">
        <v>0.21305325168591585</v>
      </c>
      <c r="T149" s="18">
        <v>0.12523060227889313</v>
      </c>
      <c r="U149" s="18">
        <v>0.23565615068599333</v>
      </c>
      <c r="V149" s="18">
        <v>0.07007208743508256</v>
      </c>
      <c r="W149" s="18">
        <v>0.07152933881094489</v>
      </c>
      <c r="X149" s="18">
        <v>0.0653592744748469</v>
      </c>
      <c r="Y149" s="196">
        <v>0.06559181458801644</v>
      </c>
      <c r="AA149" s="18">
        <v>-0.0031792083968346097</v>
      </c>
      <c r="AB149" s="18">
        <v>-0.012380311351526063</v>
      </c>
      <c r="AC149" s="18">
        <v>0.02252649192040268</v>
      </c>
      <c r="AD149" s="18">
        <v>-0.02418788879297995</v>
      </c>
      <c r="AE149" s="18">
        <v>0.002795366640353958</v>
      </c>
      <c r="AF149" s="18">
        <v>0.008481713747228836</v>
      </c>
      <c r="AG149" s="18">
        <v>0.01078059264621567</v>
      </c>
      <c r="AH149" s="18">
        <v>0.04325086026857794</v>
      </c>
      <c r="AI149" s="18">
        <v>0.008482853122672163</v>
      </c>
      <c r="AJ149" s="18">
        <v>0.02655671889409139</v>
      </c>
      <c r="AK149" s="18">
        <v>0.01570255511080454</v>
      </c>
    </row>
    <row r="150">
      <c r="A150" s="230">
        <f>IFERROR(__xludf.DUMMYFUNCTION("""COMPUTED_VALUE"""),45902.66666666667)</f>
        <v>45902.66667</v>
      </c>
      <c r="B150" s="18">
        <f>IFERROR(__xludf.DUMMYFUNCTION("""COMPUTED_VALUE"""),640.27)</f>
        <v>640.27</v>
      </c>
      <c r="C150" s="18">
        <f>IFERROR(__xludf.DUMMYFUNCTION("IFERROR(VLOOKUP($A150, GOOGLEFINANCE(C$1, ""price"", $A$2, TODAY()), 2, FALSE), """")"),129.9)</f>
        <v>129.9</v>
      </c>
      <c r="D150" s="18">
        <f>IFERROR(__xludf.DUMMYFUNCTION("IFERROR(VLOOKUP($A150, GOOGLEFINANCE(D$1, ""price"", $A$2, TODAY()), 2, FALSE), """")"),115.01)</f>
        <v>115.01</v>
      </c>
      <c r="E150" s="18">
        <f>IFERROR(__xludf.DUMMYFUNCTION("IFERROR(VLOOKUP($A150, GOOGLEFINANCE(E$1, ""price"", $A$2, TODAY()), 2, FALSE), """")"),53.59)</f>
        <v>53.59</v>
      </c>
      <c r="F150" s="18">
        <f>IFERROR(__xludf.DUMMYFUNCTION("IFERROR(VLOOKUP($A150, GOOGLEFINANCE(F$1, ""price"", $A$2, TODAY()), 2, FALSE), """")"),111.2)</f>
        <v>111.2</v>
      </c>
      <c r="G150" s="18">
        <f>IFERROR(__xludf.DUMMYFUNCTION("IFERROR(VLOOKUP($A150, GOOGLEFINANCE(G$1, ""price"", $A$2, TODAY()), 2, FALSE), """")"),137.56)</f>
        <v>137.56</v>
      </c>
      <c r="H150" s="18">
        <f>IFERROR(__xludf.DUMMYFUNCTION("IFERROR(VLOOKUP($A150, GOOGLEFINANCE(H$1, ""price"", $A$2, TODAY()), 2, FALSE), """")"),80.65)</f>
        <v>80.65</v>
      </c>
      <c r="I150" s="18">
        <f>IFERROR(__xludf.DUMMYFUNCTION("IFERROR(VLOOKUP($A150, GOOGLEFINANCE(I$1, ""price"", $A$2, TODAY()), 2, FALSE), """")"),150.56)</f>
        <v>150.56</v>
      </c>
      <c r="J150" s="18">
        <f>IFERROR(__xludf.DUMMYFUNCTION("IFERROR(VLOOKUP($A150, GOOGLEFINANCE(J$1, ""price"", $A$2, TODAY()), 2, FALSE), """")"),45.26)</f>
        <v>45.26</v>
      </c>
      <c r="K150" s="18">
        <f>IFERROR(__xludf.DUMMYFUNCTION("IFERROR(VLOOKUP($A150, GOOGLEFINANCE(K$1, ""price"", $A$2, TODAY()), 2, FALSE), """")"),45.8)</f>
        <v>45.8</v>
      </c>
      <c r="L150" s="18">
        <f>IFERROR(__xludf.DUMMYFUNCTION("IFERROR(VLOOKUP($A150, GOOGLEFINANCE(L$1, ""price"", $A$2, TODAY()), 2, FALSE), """")"),42.02)</f>
        <v>42.02</v>
      </c>
      <c r="M150" s="196">
        <f>IFERROR(__xludf.DUMMYFUNCTION("IFERROR(VLOOKUP($A150, GOOGLEFINANCE(M$1, ""price"", $A$2, TODAY()), 2, FALSE), """")"),41.59)</f>
        <v>41.59</v>
      </c>
      <c r="O150" s="18">
        <v>0.2028831586674372</v>
      </c>
      <c r="P150" s="18">
        <v>0.1796273447139488</v>
      </c>
      <c r="Q150" s="18">
        <v>0.08369906445718213</v>
      </c>
      <c r="R150" s="18">
        <v>0.17367673012947663</v>
      </c>
      <c r="S150" s="18">
        <v>0.214846861480313</v>
      </c>
      <c r="T150" s="18">
        <v>0.12596248457681916</v>
      </c>
      <c r="U150" s="18">
        <v>0.2351507957580396</v>
      </c>
      <c r="V150" s="18">
        <v>0.07068892810845424</v>
      </c>
      <c r="W150" s="18">
        <v>0.07153232230152903</v>
      </c>
      <c r="X150" s="18">
        <v>0.06562856295000548</v>
      </c>
      <c r="Y150" s="196">
        <v>0.0649569712777422</v>
      </c>
      <c r="AA150" s="18">
        <v>-0.005494802320084036</v>
      </c>
      <c r="AB150" s="18">
        <v>-0.008764946221278325</v>
      </c>
      <c r="AC150" s="18">
        <v>0.02047267694861743</v>
      </c>
      <c r="AD150" s="18">
        <v>-0.021848203818285783</v>
      </c>
      <c r="AE150" s="18">
        <v>0.008163355411587858</v>
      </c>
      <c r="AF150" s="18">
        <v>0.014705593891277235</v>
      </c>
      <c r="AG150" s="18">
        <v>0.017807767090355586</v>
      </c>
      <c r="AH150" s="18">
        <v>0.04980887455517369</v>
      </c>
      <c r="AI150" s="18">
        <v>0.027603604204845755</v>
      </c>
      <c r="AJ150" s="18">
        <v>0.025966907290314145</v>
      </c>
      <c r="AK150" s="18">
        <v>0.008678775813135031</v>
      </c>
    </row>
    <row r="151">
      <c r="A151" s="230">
        <f>IFERROR(__xludf.DUMMYFUNCTION("""COMPUTED_VALUE"""),45903.66666666667)</f>
        <v>45903.66667</v>
      </c>
      <c r="B151" s="18">
        <f>IFERROR(__xludf.DUMMYFUNCTION("""COMPUTED_VALUE"""),643.74)</f>
        <v>643.74</v>
      </c>
      <c r="C151" s="18">
        <f>IFERROR(__xludf.DUMMYFUNCTION("IFERROR(VLOOKUP($A151, GOOGLEFINANCE(C$1, ""price"", $A$2, TODAY()), 2, FALSE), """")"),130.68)</f>
        <v>130.68</v>
      </c>
      <c r="D151" s="18">
        <f>IFERROR(__xludf.DUMMYFUNCTION("IFERROR(VLOOKUP($A151, GOOGLEFINANCE(D$1, ""price"", $A$2, TODAY()), 2, FALSE), """")"),115.47)</f>
        <v>115.47</v>
      </c>
      <c r="E151" s="18">
        <f>IFERROR(__xludf.DUMMYFUNCTION("IFERROR(VLOOKUP($A151, GOOGLEFINANCE(E$1, ""price"", $A$2, TODAY()), 2, FALSE), """")"),53.5)</f>
        <v>53.5</v>
      </c>
      <c r="F151" s="18">
        <f>IFERROR(__xludf.DUMMYFUNCTION("IFERROR(VLOOKUP($A151, GOOGLEFINANCE(F$1, ""price"", $A$2, TODAY()), 2, FALSE), """")"),113.06)</f>
        <v>113.06</v>
      </c>
      <c r="G151" s="18">
        <f>IFERROR(__xludf.DUMMYFUNCTION("IFERROR(VLOOKUP($A151, GOOGLEFINANCE(G$1, ""price"", $A$2, TODAY()), 2, FALSE), """")"),136.91)</f>
        <v>136.91</v>
      </c>
      <c r="H151" s="18">
        <f>IFERROR(__xludf.DUMMYFUNCTION("IFERROR(VLOOKUP($A151, GOOGLEFINANCE(H$1, ""price"", $A$2, TODAY()), 2, FALSE), """")"),80.59)</f>
        <v>80.59</v>
      </c>
      <c r="I151" s="18">
        <f>IFERROR(__xludf.DUMMYFUNCTION("IFERROR(VLOOKUP($A151, GOOGLEFINANCE(I$1, ""price"", $A$2, TODAY()), 2, FALSE), """")"),149.8)</f>
        <v>149.8</v>
      </c>
      <c r="J151" s="18">
        <f>IFERROR(__xludf.DUMMYFUNCTION("IFERROR(VLOOKUP($A151, GOOGLEFINANCE(J$1, ""price"", $A$2, TODAY()), 2, FALSE), """")"),44.25)</f>
        <v>44.25</v>
      </c>
      <c r="K151" s="18">
        <f>IFERROR(__xludf.DUMMYFUNCTION("IFERROR(VLOOKUP($A151, GOOGLEFINANCE(K$1, ""price"", $A$2, TODAY()), 2, FALSE), """")"),45.49)</f>
        <v>45.49</v>
      </c>
      <c r="L151" s="18">
        <f>IFERROR(__xludf.DUMMYFUNCTION("IFERROR(VLOOKUP($A151, GOOGLEFINANCE(L$1, ""price"", $A$2, TODAY()), 2, FALSE), """")"),41.92)</f>
        <v>41.92</v>
      </c>
      <c r="M151" s="196">
        <f>IFERROR(__xludf.DUMMYFUNCTION("IFERROR(VLOOKUP($A151, GOOGLEFINANCE(M$1, ""price"", $A$2, TODAY()), 2, FALSE), """")"),41.48)</f>
        <v>41.48</v>
      </c>
      <c r="O151" s="18">
        <v>0.20300121166930749</v>
      </c>
      <c r="P151" s="18">
        <v>0.1793736601733619</v>
      </c>
      <c r="Q151" s="18">
        <v>0.08310808711591636</v>
      </c>
      <c r="R151" s="18">
        <v>0.17562991269767297</v>
      </c>
      <c r="S151" s="18">
        <v>0.21267903190729176</v>
      </c>
      <c r="T151" s="18">
        <v>0.1251902942181626</v>
      </c>
      <c r="U151" s="18">
        <v>0.23270264392456583</v>
      </c>
      <c r="V151" s="18">
        <v>0.06873893186690279</v>
      </c>
      <c r="W151" s="18">
        <v>0.07066517538136514</v>
      </c>
      <c r="X151" s="18">
        <v>0.06511945816634045</v>
      </c>
      <c r="Y151" s="196">
        <v>0.06443595240314412</v>
      </c>
      <c r="AA151" s="18">
        <v>-0.019771820072265855</v>
      </c>
      <c r="AB151" s="18">
        <v>0.004717407262696316</v>
      </c>
      <c r="AC151" s="18">
        <v>0.019637424715421625</v>
      </c>
      <c r="AD151" s="18">
        <v>-6.317801382891286E-4</v>
      </c>
      <c r="AE151" s="18">
        <v>0.010058919393102439</v>
      </c>
      <c r="AF151" s="18">
        <v>0.021395569077155896</v>
      </c>
      <c r="AG151" s="18">
        <v>0.002715323692131788</v>
      </c>
      <c r="AH151" s="18">
        <v>0.00610903844058952</v>
      </c>
      <c r="AI151" s="18">
        <v>0.016061155985012565</v>
      </c>
      <c r="AJ151" s="18">
        <v>0.003818525423514574</v>
      </c>
      <c r="AK151" s="18">
        <v>0.003960165237807622</v>
      </c>
    </row>
    <row r="152">
      <c r="A152" s="230">
        <f>IFERROR(__xludf.DUMMYFUNCTION("""COMPUTED_VALUE"""),45904.66666666667)</f>
        <v>45904.66667</v>
      </c>
      <c r="B152" s="18">
        <f>IFERROR(__xludf.DUMMYFUNCTION("""COMPUTED_VALUE"""),649.12)</f>
        <v>649.12</v>
      </c>
      <c r="C152" s="18">
        <f>IFERROR(__xludf.DUMMYFUNCTION("IFERROR(VLOOKUP($A152, GOOGLEFINANCE(C$1, ""price"", $A$2, TODAY()), 2, FALSE), """")"),131.32)</f>
        <v>131.32</v>
      </c>
      <c r="D152" s="18">
        <f>IFERROR(__xludf.DUMMYFUNCTION("IFERROR(VLOOKUP($A152, GOOGLEFINANCE(D$1, ""price"", $A$2, TODAY()), 2, FALSE), """")"),117.58)</f>
        <v>117.58</v>
      </c>
      <c r="E152" s="18">
        <f>IFERROR(__xludf.DUMMYFUNCTION("IFERROR(VLOOKUP($A152, GOOGLEFINANCE(E$1, ""price"", $A$2, TODAY()), 2, FALSE), """")"),54.06)</f>
        <v>54.06</v>
      </c>
      <c r="F152" s="18">
        <f>IFERROR(__xludf.DUMMYFUNCTION("IFERROR(VLOOKUP($A152, GOOGLEFINANCE(F$1, ""price"", $A$2, TODAY()), 2, FALSE), """")"),114.08)</f>
        <v>114.08</v>
      </c>
      <c r="G152" s="18">
        <f>IFERROR(__xludf.DUMMYFUNCTION("IFERROR(VLOOKUP($A152, GOOGLEFINANCE(G$1, ""price"", $A$2, TODAY()), 2, FALSE), """")"),137.43)</f>
        <v>137.43</v>
      </c>
      <c r="H152" s="18">
        <f>IFERROR(__xludf.DUMMYFUNCTION("IFERROR(VLOOKUP($A152, GOOGLEFINANCE(H$1, ""price"", $A$2, TODAY()), 2, FALSE), """")"),80.64)</f>
        <v>80.64</v>
      </c>
      <c r="I152" s="18">
        <f>IFERROR(__xludf.DUMMYFUNCTION("IFERROR(VLOOKUP($A152, GOOGLEFINANCE(I$1, ""price"", $A$2, TODAY()), 2, FALSE), """")"),151.49)</f>
        <v>151.49</v>
      </c>
      <c r="J152" s="18">
        <f>IFERROR(__xludf.DUMMYFUNCTION("IFERROR(VLOOKUP($A152, GOOGLEFINANCE(J$1, ""price"", $A$2, TODAY()), 2, FALSE), """")"),44.54)</f>
        <v>44.54</v>
      </c>
      <c r="K152" s="18">
        <f>IFERROR(__xludf.DUMMYFUNCTION("IFERROR(VLOOKUP($A152, GOOGLEFINANCE(K$1, ""price"", $A$2, TODAY()), 2, FALSE), """")"),45.66)</f>
        <v>45.66</v>
      </c>
      <c r="L152" s="18">
        <f>IFERROR(__xludf.DUMMYFUNCTION("IFERROR(VLOOKUP($A152, GOOGLEFINANCE(L$1, ""price"", $A$2, TODAY()), 2, FALSE), """")"),41.87)</f>
        <v>41.87</v>
      </c>
      <c r="M152" s="196">
        <f>IFERROR(__xludf.DUMMYFUNCTION("IFERROR(VLOOKUP($A152, GOOGLEFINANCE(M$1, ""price"", $A$2, TODAY()), 2, FALSE), """")"),41.76)</f>
        <v>41.76</v>
      </c>
      <c r="O152" s="18">
        <v>0.20230465861473995</v>
      </c>
      <c r="P152" s="18">
        <v>0.18113754005422725</v>
      </c>
      <c r="Q152" s="18">
        <v>0.08328198175992113</v>
      </c>
      <c r="R152" s="18">
        <v>0.17574562484594528</v>
      </c>
      <c r="S152" s="18">
        <v>0.21171740202119793</v>
      </c>
      <c r="T152" s="18">
        <v>0.12422972639881685</v>
      </c>
      <c r="U152" s="18">
        <v>0.23337749568646785</v>
      </c>
      <c r="V152" s="18">
        <v>0.06861597239339413</v>
      </c>
      <c r="W152" s="18">
        <v>0.07034138526004437</v>
      </c>
      <c r="X152" s="18">
        <v>0.06450271136307616</v>
      </c>
      <c r="Y152" s="196">
        <v>0.06433325117081587</v>
      </c>
      <c r="AA152" s="18">
        <v>-0.01836041728907667</v>
      </c>
      <c r="AB152" s="18">
        <v>0.003550804261680529</v>
      </c>
      <c r="AC152" s="18">
        <v>0.013672583097851687</v>
      </c>
      <c r="AD152" s="18">
        <v>-0.006911881187154134</v>
      </c>
      <c r="AE152" s="18">
        <v>-0.0034947388262209778</v>
      </c>
      <c r="AF152" s="18">
        <v>0.01373861486107364</v>
      </c>
      <c r="AG152" s="18">
        <v>0.004424361834370671</v>
      </c>
      <c r="AH152" s="18">
        <v>0.01242813383593866</v>
      </c>
      <c r="AI152" s="18">
        <v>-0.0011097994264096522</v>
      </c>
      <c r="AJ152" s="18">
        <v>-0.0028463076234186424</v>
      </c>
      <c r="AK152" s="18">
        <v>-0.005466009227464985</v>
      </c>
    </row>
    <row r="153">
      <c r="A153" s="230">
        <f>IFERROR(__xludf.DUMMYFUNCTION("""COMPUTED_VALUE"""),45905.66666666667)</f>
        <v>45905.66667</v>
      </c>
      <c r="B153" s="18">
        <f>IFERROR(__xludf.DUMMYFUNCTION("""COMPUTED_VALUE"""),647.24)</f>
        <v>647.24</v>
      </c>
      <c r="C153" s="18">
        <f>IFERROR(__xludf.DUMMYFUNCTION("IFERROR(VLOOKUP($A153, GOOGLEFINANCE(C$1, ""price"", $A$2, TODAY()), 2, FALSE), """")"),131.43)</f>
        <v>131.43</v>
      </c>
      <c r="D153" s="18">
        <f>IFERROR(__xludf.DUMMYFUNCTION("IFERROR(VLOOKUP($A153, GOOGLEFINANCE(D$1, ""price"", $A$2, TODAY()), 2, FALSE), """")"),117.56)</f>
        <v>117.56</v>
      </c>
      <c r="E153" s="18">
        <f>IFERROR(__xludf.DUMMYFUNCTION("IFERROR(VLOOKUP($A153, GOOGLEFINANCE(E$1, ""price"", $A$2, TODAY()), 2, FALSE), """")"),53.07)</f>
        <v>53.07</v>
      </c>
      <c r="F153" s="18">
        <f>IFERROR(__xludf.DUMMYFUNCTION("IFERROR(VLOOKUP($A153, GOOGLEFINANCE(F$1, ""price"", $A$2, TODAY()), 2, FALSE), """")"),114.69)</f>
        <v>114.69</v>
      </c>
      <c r="G153" s="18">
        <f>IFERROR(__xludf.DUMMYFUNCTION("IFERROR(VLOOKUP($A153, GOOGLEFINANCE(G$1, ""price"", $A$2, TODAY()), 2, FALSE), """")"),137.9)</f>
        <v>137.9</v>
      </c>
      <c r="H153" s="18">
        <f>IFERROR(__xludf.DUMMYFUNCTION("IFERROR(VLOOKUP($A153, GOOGLEFINANCE(H$1, ""price"", $A$2, TODAY()), 2, FALSE), """")"),80.87)</f>
        <v>80.87</v>
      </c>
      <c r="I153" s="18">
        <f>IFERROR(__xludf.DUMMYFUNCTION("IFERROR(VLOOKUP($A153, GOOGLEFINANCE(I$1, ""price"", $A$2, TODAY()), 2, FALSE), """")"),150.93)</f>
        <v>150.93</v>
      </c>
      <c r="J153" s="18">
        <f>IFERROR(__xludf.DUMMYFUNCTION("IFERROR(VLOOKUP($A153, GOOGLEFINANCE(J$1, ""price"", $A$2, TODAY()), 2, FALSE), """")"),43.68)</f>
        <v>43.68</v>
      </c>
      <c r="K153" s="18">
        <f>IFERROR(__xludf.DUMMYFUNCTION("IFERROR(VLOOKUP($A153, GOOGLEFINANCE(K$1, ""price"", $A$2, TODAY()), 2, FALSE), """")"),45.98)</f>
        <v>45.98</v>
      </c>
      <c r="L153" s="18">
        <f>IFERROR(__xludf.DUMMYFUNCTION("IFERROR(VLOOKUP($A153, GOOGLEFINANCE(L$1, ""price"", $A$2, TODAY()), 2, FALSE), """")"),41.74)</f>
        <v>41.74</v>
      </c>
      <c r="M153" s="196">
        <f>IFERROR(__xludf.DUMMYFUNCTION("IFERROR(VLOOKUP($A153, GOOGLEFINANCE(M$1, ""price"", $A$2, TODAY()), 2, FALSE), """")"),42.18)</f>
        <v>42.18</v>
      </c>
      <c r="O153" s="18">
        <v>0.20306223348371547</v>
      </c>
      <c r="P153" s="18">
        <v>0.18163277918546444</v>
      </c>
      <c r="Q153" s="18">
        <v>0.08199431431926334</v>
      </c>
      <c r="R153" s="18">
        <v>0.1771985662196403</v>
      </c>
      <c r="S153" s="18">
        <v>0.21305852543106113</v>
      </c>
      <c r="T153" s="18">
        <v>0.1249459242321241</v>
      </c>
      <c r="U153" s="18">
        <v>0.23319016130029047</v>
      </c>
      <c r="V153" s="18">
        <v>0.06748655830912799</v>
      </c>
      <c r="W153" s="18">
        <v>0.07104010876954452</v>
      </c>
      <c r="X153" s="18">
        <v>0.0644892157468636</v>
      </c>
      <c r="Y153" s="196">
        <v>0.06516902540016069</v>
      </c>
      <c r="AA153" s="18">
        <v>-0.014359547293787744</v>
      </c>
      <c r="AB153" s="18">
        <v>7.308528688918514E-4</v>
      </c>
      <c r="AC153" s="18">
        <v>0.0019308954763366248</v>
      </c>
      <c r="AD153" s="18">
        <v>-0.007310529028941359</v>
      </c>
      <c r="AE153" s="18">
        <v>0.014168454157076793</v>
      </c>
      <c r="AF153" s="18">
        <v>0.022668078304789674</v>
      </c>
      <c r="AG153" s="18">
        <v>0.011357329069956013</v>
      </c>
      <c r="AH153" s="18">
        <v>0.0014974785102446209</v>
      </c>
      <c r="AI153" s="18">
        <v>0.018814963049438527</v>
      </c>
      <c r="AJ153" s="18">
        <v>-0.00828408598489827</v>
      </c>
      <c r="AK153" s="18">
        <v>0.011635631365280563</v>
      </c>
    </row>
    <row r="154">
      <c r="A154" s="230">
        <f>IFERROR(__xludf.DUMMYFUNCTION("""COMPUTED_VALUE"""),45908.66666666667)</f>
        <v>45908.66667</v>
      </c>
      <c r="B154" s="18">
        <f>IFERROR(__xludf.DUMMYFUNCTION("""COMPUTED_VALUE"""),648.83)</f>
        <v>648.83</v>
      </c>
      <c r="C154" s="18">
        <f>IFERROR(__xludf.DUMMYFUNCTION("IFERROR(VLOOKUP($A154, GOOGLEFINANCE(C$1, ""price"", $A$2, TODAY()), 2, FALSE), """")"),132.42)</f>
        <v>132.42</v>
      </c>
      <c r="D154" s="18">
        <f>IFERROR(__xludf.DUMMYFUNCTION("IFERROR(VLOOKUP($A154, GOOGLEFINANCE(D$1, ""price"", $A$2, TODAY()), 2, FALSE), """")"),118.01)</f>
        <v>118.01</v>
      </c>
      <c r="E154" s="18">
        <f>IFERROR(__xludf.DUMMYFUNCTION("IFERROR(VLOOKUP($A154, GOOGLEFINANCE(E$1, ""price"", $A$2, TODAY()), 2, FALSE), """")"),53.11)</f>
        <v>53.11</v>
      </c>
      <c r="F154" s="18">
        <f>IFERROR(__xludf.DUMMYFUNCTION("IFERROR(VLOOKUP($A154, GOOGLEFINANCE(F$1, ""price"", $A$2, TODAY()), 2, FALSE), """")"),114.82)</f>
        <v>114.82</v>
      </c>
      <c r="G154" s="18">
        <f>IFERROR(__xludf.DUMMYFUNCTION("IFERROR(VLOOKUP($A154, GOOGLEFINANCE(G$1, ""price"", $A$2, TODAY()), 2, FALSE), """")"),137.85)</f>
        <v>137.85</v>
      </c>
      <c r="H154" s="18">
        <f>IFERROR(__xludf.DUMMYFUNCTION("IFERROR(VLOOKUP($A154, GOOGLEFINANCE(H$1, ""price"", $A$2, TODAY()), 2, FALSE), """")"),80.57)</f>
        <v>80.57</v>
      </c>
      <c r="I154" s="18">
        <f>IFERROR(__xludf.DUMMYFUNCTION("IFERROR(VLOOKUP($A154, GOOGLEFINANCE(I$1, ""price"", $A$2, TODAY()), 2, FALSE), """")"),151.27)</f>
        <v>151.27</v>
      </c>
      <c r="J154" s="18">
        <f>IFERROR(__xludf.DUMMYFUNCTION("IFERROR(VLOOKUP($A154, GOOGLEFINANCE(J$1, ""price"", $A$2, TODAY()), 2, FALSE), """")"),43.58)</f>
        <v>43.58</v>
      </c>
      <c r="K154" s="18">
        <f>IFERROR(__xludf.DUMMYFUNCTION("IFERROR(VLOOKUP($A154, GOOGLEFINANCE(K$1, ""price"", $A$2, TODAY()), 2, FALSE), """")"),46.02)</f>
        <v>46.02</v>
      </c>
      <c r="L154" s="18">
        <f>IFERROR(__xludf.DUMMYFUNCTION("IFERROR(VLOOKUP($A154, GOOGLEFINANCE(L$1, ""price"", $A$2, TODAY()), 2, FALSE), """")"),41.31)</f>
        <v>41.31</v>
      </c>
      <c r="M154" s="196">
        <f>IFERROR(__xludf.DUMMYFUNCTION("IFERROR(VLOOKUP($A154, GOOGLEFINANCE(M$1, ""price"", $A$2, TODAY()), 2, FALSE), """")"),41.9)</f>
        <v>41.9</v>
      </c>
      <c r="O154" s="18">
        <v>0.20409043971456312</v>
      </c>
      <c r="P154" s="18">
        <v>0.18188123237211595</v>
      </c>
      <c r="Q154" s="18">
        <v>0.08185503136414776</v>
      </c>
      <c r="R154" s="18">
        <v>0.17696469028867343</v>
      </c>
      <c r="S154" s="18">
        <v>0.21245934990675522</v>
      </c>
      <c r="T154" s="18">
        <v>0.124177365411587</v>
      </c>
      <c r="U154" s="18">
        <v>0.23314273384399611</v>
      </c>
      <c r="V154" s="18">
        <v>0.06716705454433364</v>
      </c>
      <c r="W154" s="18">
        <v>0.07092766980565017</v>
      </c>
      <c r="X154" s="18">
        <v>0.06366844936269901</v>
      </c>
      <c r="Y154" s="196">
        <v>0.06457777846277145</v>
      </c>
      <c r="AA154" s="18">
        <v>-0.01298541993449509</v>
      </c>
      <c r="AB154" s="18">
        <v>-0.001187160057705361</v>
      </c>
      <c r="AC154" s="18">
        <v>0.007801951916521999</v>
      </c>
      <c r="AD154" s="18">
        <v>-0.01716190370851134</v>
      </c>
      <c r="AE154" s="18">
        <v>0.025461980186033628</v>
      </c>
      <c r="AF154" s="18">
        <v>0.03362799211803469</v>
      </c>
      <c r="AG154" s="18">
        <v>0.01186212388255492</v>
      </c>
      <c r="AH154" s="18">
        <v>0.005467225796048636</v>
      </c>
      <c r="AI154" s="18">
        <v>0.03093921819336387</v>
      </c>
      <c r="AJ154" s="18">
        <v>-0.01799031812598839</v>
      </c>
      <c r="AK154" s="18">
        <v>0.008985805291495952</v>
      </c>
    </row>
    <row r="155">
      <c r="A155" s="230">
        <f>IFERROR(__xludf.DUMMYFUNCTION("""COMPUTED_VALUE"""),45909.66666666667)</f>
        <v>45909.66667</v>
      </c>
      <c r="B155" s="18">
        <f>IFERROR(__xludf.DUMMYFUNCTION("""COMPUTED_VALUE"""),650.33)</f>
        <v>650.33</v>
      </c>
      <c r="C155" s="18">
        <f>IFERROR(__xludf.DUMMYFUNCTION("IFERROR(VLOOKUP($A155, GOOGLEFINANCE(C$1, ""price"", $A$2, TODAY()), 2, FALSE), """")"),132.67)</f>
        <v>132.67</v>
      </c>
      <c r="D155" s="18">
        <f>IFERROR(__xludf.DUMMYFUNCTION("IFERROR(VLOOKUP($A155, GOOGLEFINANCE(D$1, ""price"", $A$2, TODAY()), 2, FALSE), """")"),117.85)</f>
        <v>117.85</v>
      </c>
      <c r="E155" s="18">
        <f>IFERROR(__xludf.DUMMYFUNCTION("IFERROR(VLOOKUP($A155, GOOGLEFINANCE(E$1, ""price"", $A$2, TODAY()), 2, FALSE), """")"),53.34)</f>
        <v>53.34</v>
      </c>
      <c r="F155" s="18">
        <f>IFERROR(__xludf.DUMMYFUNCTION("IFERROR(VLOOKUP($A155, GOOGLEFINANCE(F$1, ""price"", $A$2, TODAY()), 2, FALSE), """")"),115.47)</f>
        <v>115.47</v>
      </c>
      <c r="G155" s="18">
        <f>IFERROR(__xludf.DUMMYFUNCTION("IFERROR(VLOOKUP($A155, GOOGLEFINANCE(G$1, ""price"", $A$2, TODAY()), 2, FALSE), """")"),138.59)</f>
        <v>138.59</v>
      </c>
      <c r="H155" s="18">
        <f>IFERROR(__xludf.DUMMYFUNCTION("IFERROR(VLOOKUP($A155, GOOGLEFINANCE(H$1, ""price"", $A$2, TODAY()), 2, FALSE), """")"),80.73)</f>
        <v>80.73</v>
      </c>
      <c r="I155" s="18">
        <f>IFERROR(__xludf.DUMMYFUNCTION("IFERROR(VLOOKUP($A155, GOOGLEFINANCE(I$1, ""price"", $A$2, TODAY()), 2, FALSE), """")"),150.25)</f>
        <v>150.25</v>
      </c>
      <c r="J155" s="18">
        <f>IFERROR(__xludf.DUMMYFUNCTION("IFERROR(VLOOKUP($A155, GOOGLEFINANCE(J$1, ""price"", $A$2, TODAY()), 2, FALSE), """")"),43.79)</f>
        <v>43.79</v>
      </c>
      <c r="K155" s="18">
        <f>IFERROR(__xludf.DUMMYFUNCTION("IFERROR(VLOOKUP($A155, GOOGLEFINANCE(K$1, ""price"", $A$2, TODAY()), 2, FALSE), """")"),45.27)</f>
        <v>45.27</v>
      </c>
      <c r="L155" s="18">
        <f>IFERROR(__xludf.DUMMYFUNCTION("IFERROR(VLOOKUP($A155, GOOGLEFINANCE(L$1, ""price"", $A$2, TODAY()), 2, FALSE), """")"),41.6)</f>
        <v>41.6</v>
      </c>
      <c r="M155" s="196">
        <f>IFERROR(__xludf.DUMMYFUNCTION("IFERROR(VLOOKUP($A155, GOOGLEFINANCE(M$1, ""price"", $A$2, TODAY()), 2, FALSE), """")"),41.88)</f>
        <v>41.88</v>
      </c>
      <c r="O155" s="18">
        <v>0.2040041209847308</v>
      </c>
      <c r="P155" s="18">
        <v>0.18121569049559452</v>
      </c>
      <c r="Q155" s="18">
        <v>0.08201989759045408</v>
      </c>
      <c r="R155" s="18">
        <v>0.17755601002567925</v>
      </c>
      <c r="S155" s="18">
        <v>0.21310719173342763</v>
      </c>
      <c r="T155" s="18">
        <v>0.12413697661187396</v>
      </c>
      <c r="U155" s="18">
        <v>0.23103655067427303</v>
      </c>
      <c r="V155" s="18">
        <v>0.0673350452847016</v>
      </c>
      <c r="W155" s="18">
        <v>0.06961081297187582</v>
      </c>
      <c r="X155" s="18">
        <v>0.06396752418003167</v>
      </c>
      <c r="Y155" s="196">
        <v>0.06439807482355112</v>
      </c>
      <c r="AA155" s="18">
        <v>-0.01136118767954808</v>
      </c>
      <c r="AB155" s="18">
        <v>-0.012285442835144322</v>
      </c>
      <c r="AC155" s="18">
        <v>0.010700754475349017</v>
      </c>
      <c r="AD155" s="18">
        <v>-0.011247328577891458</v>
      </c>
      <c r="AE155" s="18">
        <v>0.027172617717536207</v>
      </c>
      <c r="AF155" s="18">
        <v>0.027211692124333053</v>
      </c>
      <c r="AG155" s="18">
        <v>0.004308262168347454</v>
      </c>
      <c r="AH155" s="18">
        <v>-0.009999334196857612</v>
      </c>
      <c r="AI155" s="18">
        <v>0.013526065771851892</v>
      </c>
      <c r="AJ155" s="18">
        <v>0.0035313990687164676</v>
      </c>
      <c r="AK155" s="18">
        <v>0.010766453829815559</v>
      </c>
    </row>
    <row r="156">
      <c r="A156" s="230">
        <f>IFERROR(__xludf.DUMMYFUNCTION("""COMPUTED_VALUE"""),45910.66666666667)</f>
        <v>45910.66667</v>
      </c>
      <c r="B156" s="18">
        <f>IFERROR(__xludf.DUMMYFUNCTION("""COMPUTED_VALUE"""),652.21)</f>
        <v>652.21</v>
      </c>
      <c r="C156" s="18">
        <f>IFERROR(__xludf.DUMMYFUNCTION("IFERROR(VLOOKUP($A156, GOOGLEFINANCE(C$1, ""price"", $A$2, TODAY()), 2, FALSE), """")"),135.07)</f>
        <v>135.07</v>
      </c>
      <c r="D156" s="18">
        <f>IFERROR(__xludf.DUMMYFUNCTION("IFERROR(VLOOKUP($A156, GOOGLEFINANCE(D$1, ""price"", $A$2, TODAY()), 2, FALSE), """")"),116.44)</f>
        <v>116.44</v>
      </c>
      <c r="E156" s="18">
        <f>IFERROR(__xludf.DUMMYFUNCTION("IFERROR(VLOOKUP($A156, GOOGLEFINANCE(E$1, ""price"", $A$2, TODAY()), 2, FALSE), """")"),53.16)</f>
        <v>53.16</v>
      </c>
      <c r="F156" s="18">
        <f>IFERROR(__xludf.DUMMYFUNCTION("IFERROR(VLOOKUP($A156, GOOGLEFINANCE(F$1, ""price"", $A$2, TODAY()), 2, FALSE), """")"),114.62)</f>
        <v>114.62</v>
      </c>
      <c r="G156" s="18">
        <f>IFERROR(__xludf.DUMMYFUNCTION("IFERROR(VLOOKUP($A156, GOOGLEFINANCE(G$1, ""price"", $A$2, TODAY()), 2, FALSE), """")"),137.33)</f>
        <v>137.33</v>
      </c>
      <c r="H156" s="18">
        <f>IFERROR(__xludf.DUMMYFUNCTION("IFERROR(VLOOKUP($A156, GOOGLEFINANCE(H$1, ""price"", $A$2, TODAY()), 2, FALSE), """")"),79.94)</f>
        <v>79.94</v>
      </c>
      <c r="I156" s="18">
        <f>IFERROR(__xludf.DUMMYFUNCTION("IFERROR(VLOOKUP($A156, GOOGLEFINANCE(I$1, ""price"", $A$2, TODAY()), 2, FALSE), """")"),151.36)</f>
        <v>151.36</v>
      </c>
      <c r="J156" s="18">
        <f>IFERROR(__xludf.DUMMYFUNCTION("IFERROR(VLOOKUP($A156, GOOGLEFINANCE(J$1, ""price"", $A$2, TODAY()), 2, FALSE), """")"),44.56)</f>
        <v>44.56</v>
      </c>
      <c r="K156" s="18">
        <f>IFERROR(__xludf.DUMMYFUNCTION("IFERROR(VLOOKUP($A156, GOOGLEFINANCE(K$1, ""price"", $A$2, TODAY()), 2, FALSE), """")"),45.36)</f>
        <v>45.36</v>
      </c>
      <c r="L156" s="18">
        <f>IFERROR(__xludf.DUMMYFUNCTION("IFERROR(VLOOKUP($A156, GOOGLEFINANCE(L$1, ""price"", $A$2, TODAY()), 2, FALSE), """")"),42.31)</f>
        <v>42.31</v>
      </c>
      <c r="M156" s="196">
        <f>IFERROR(__xludf.DUMMYFUNCTION("IFERROR(VLOOKUP($A156, GOOGLEFINANCE(M$1, ""price"", $A$2, TODAY()), 2, FALSE), """")"),41.86)</f>
        <v>41.86</v>
      </c>
      <c r="O156" s="18">
        <v>0.20709587402830373</v>
      </c>
      <c r="P156" s="18">
        <v>0.17853145459284586</v>
      </c>
      <c r="Q156" s="18">
        <v>0.08150748991889115</v>
      </c>
      <c r="R156" s="18">
        <v>0.17574094233452414</v>
      </c>
      <c r="S156" s="18">
        <v>0.21056101562380217</v>
      </c>
      <c r="T156" s="18">
        <v>0.1225678845770534</v>
      </c>
      <c r="U156" s="18">
        <v>0.23207249198877664</v>
      </c>
      <c r="V156" s="18">
        <v>0.0683215528740743</v>
      </c>
      <c r="W156" s="18">
        <v>0.06954815166894097</v>
      </c>
      <c r="X156" s="18">
        <v>0.06487174376351175</v>
      </c>
      <c r="Y156" s="196">
        <v>0.06418178194139924</v>
      </c>
      <c r="AA156" s="18">
        <v>0.005846288255063614</v>
      </c>
      <c r="AB156" s="18">
        <v>-0.025711033707160214</v>
      </c>
      <c r="AC156" s="18">
        <v>-0.00650689340357502</v>
      </c>
      <c r="AD156" s="18">
        <v>-0.02512063983782198</v>
      </c>
      <c r="AE156" s="18">
        <v>0.011644389787885734</v>
      </c>
      <c r="AF156" s="18">
        <v>0.006908002934970625</v>
      </c>
      <c r="AG156" s="18">
        <v>0.012157901741178812</v>
      </c>
      <c r="AH156" s="18">
        <v>8.044716340509517E-4</v>
      </c>
      <c r="AI156" s="18">
        <v>0.00890736393337388</v>
      </c>
      <c r="AJ156" s="18">
        <v>0.013801708251106382</v>
      </c>
      <c r="AK156" s="18">
        <v>0.006598787059993949</v>
      </c>
    </row>
    <row r="157">
      <c r="A157" s="230">
        <f>IFERROR(__xludf.DUMMYFUNCTION("""COMPUTED_VALUE"""),45911.66666666667)</f>
        <v>45911.66667</v>
      </c>
      <c r="B157" s="18">
        <f>IFERROR(__xludf.DUMMYFUNCTION("""COMPUTED_VALUE"""),657.63)</f>
        <v>657.63</v>
      </c>
      <c r="C157" s="18">
        <f>IFERROR(__xludf.DUMMYFUNCTION("IFERROR(VLOOKUP($A157, GOOGLEFINANCE(C$1, ""price"", $A$2, TODAY()), 2, FALSE), """")"),135.53)</f>
        <v>135.53</v>
      </c>
      <c r="D157" s="18">
        <f>IFERROR(__xludf.DUMMYFUNCTION("IFERROR(VLOOKUP($A157, GOOGLEFINANCE(D$1, ""price"", $A$2, TODAY()), 2, FALSE), """")"),118.7)</f>
        <v>118.7</v>
      </c>
      <c r="E157" s="18">
        <f>IFERROR(__xludf.DUMMYFUNCTION("IFERROR(VLOOKUP($A157, GOOGLEFINANCE(E$1, ""price"", $A$2, TODAY()), 2, FALSE), """")"),54.03)</f>
        <v>54.03</v>
      </c>
      <c r="F157" s="18">
        <f>IFERROR(__xludf.DUMMYFUNCTION("IFERROR(VLOOKUP($A157, GOOGLEFINANCE(F$1, ""price"", $A$2, TODAY()), 2, FALSE), """")"),116.38)</f>
        <v>116.38</v>
      </c>
      <c r="G157" s="18">
        <f>IFERROR(__xludf.DUMMYFUNCTION("IFERROR(VLOOKUP($A157, GOOGLEFINANCE(G$1, ""price"", $A$2, TODAY()), 2, FALSE), """")"),139.72)</f>
        <v>139.72</v>
      </c>
      <c r="H157" s="18">
        <f>IFERROR(__xludf.DUMMYFUNCTION("IFERROR(VLOOKUP($A157, GOOGLEFINANCE(H$1, ""price"", $A$2, TODAY()), 2, FALSE), """")"),80.59)</f>
        <v>80.59</v>
      </c>
      <c r="I157" s="18">
        <f>IFERROR(__xludf.DUMMYFUNCTION("IFERROR(VLOOKUP($A157, GOOGLEFINANCE(I$1, ""price"", $A$2, TODAY()), 2, FALSE), """")"),152.8)</f>
        <v>152.8</v>
      </c>
      <c r="J157" s="18">
        <f>IFERROR(__xludf.DUMMYFUNCTION("IFERROR(VLOOKUP($A157, GOOGLEFINANCE(J$1, ""price"", $A$2, TODAY()), 2, FALSE), """")"),44.57)</f>
        <v>44.57</v>
      </c>
      <c r="K157" s="18">
        <f>IFERROR(__xludf.DUMMYFUNCTION("IFERROR(VLOOKUP($A157, GOOGLEFINANCE(K$1, ""price"", $A$2, TODAY()), 2, FALSE), """")"),46.31)</f>
        <v>46.31</v>
      </c>
      <c r="L157" s="18">
        <f>IFERROR(__xludf.DUMMYFUNCTION("IFERROR(VLOOKUP($A157, GOOGLEFINANCE(L$1, ""price"", $A$2, TODAY()), 2, FALSE), """")"),42.54)</f>
        <v>42.54</v>
      </c>
      <c r="M157" s="196">
        <f>IFERROR(__xludf.DUMMYFUNCTION("IFERROR(VLOOKUP($A157, GOOGLEFINANCE(M$1, ""price"", $A$2, TODAY()), 2, FALSE), """")"),42.54)</f>
        <v>42.54</v>
      </c>
      <c r="O157" s="18">
        <v>0.20608853002448185</v>
      </c>
      <c r="P157" s="18">
        <v>0.18049663184465428</v>
      </c>
      <c r="Q157" s="18">
        <v>0.08215866064504357</v>
      </c>
      <c r="R157" s="18">
        <v>0.1769688122500494</v>
      </c>
      <c r="S157" s="18">
        <v>0.21245989386128977</v>
      </c>
      <c r="T157" s="18">
        <v>0.12254611255569242</v>
      </c>
      <c r="U157" s="18">
        <v>0.23234949743776898</v>
      </c>
      <c r="V157" s="18">
        <v>0.06777367212566336</v>
      </c>
      <c r="W157" s="18">
        <v>0.07041953682161703</v>
      </c>
      <c r="X157" s="18">
        <v>0.06468682998038411</v>
      </c>
      <c r="Y157" s="196">
        <v>0.06468682998038411</v>
      </c>
      <c r="AA157" s="18">
        <v>-0.01141395122400879</v>
      </c>
      <c r="AB157" s="18">
        <v>-0.005857456707911268</v>
      </c>
      <c r="AC157" s="18">
        <v>0.005180022146435537</v>
      </c>
      <c r="AD157" s="18">
        <v>-0.014468839549968804</v>
      </c>
      <c r="AE157" s="18">
        <v>0.02352287268915232</v>
      </c>
      <c r="AF157" s="18">
        <v>0.020334278364757985</v>
      </c>
      <c r="AG157" s="18">
        <v>0.007370069873236629</v>
      </c>
      <c r="AH157" s="18">
        <v>5.303633959388154E-4</v>
      </c>
      <c r="AI157" s="18">
        <v>0.026321356854843714</v>
      </c>
      <c r="AJ157" s="18">
        <v>0.014913528140468424</v>
      </c>
      <c r="AK157" s="18">
        <v>0.018533048568929456</v>
      </c>
    </row>
    <row r="158">
      <c r="A158" s="230">
        <f>IFERROR(__xludf.DUMMYFUNCTION("""COMPUTED_VALUE"""),45912.66666666667)</f>
        <v>45912.66667</v>
      </c>
      <c r="B158" s="18">
        <f>IFERROR(__xludf.DUMMYFUNCTION("""COMPUTED_VALUE"""),657.41)</f>
        <v>657.41</v>
      </c>
      <c r="C158" s="18">
        <f>IFERROR(__xludf.DUMMYFUNCTION("IFERROR(VLOOKUP($A158, GOOGLEFINANCE(C$1, ""price"", $A$2, TODAY()), 2, FALSE), """")"),135.44)</f>
        <v>135.44</v>
      </c>
      <c r="D158" s="18">
        <f>IFERROR(__xludf.DUMMYFUNCTION("IFERROR(VLOOKUP($A158, GOOGLEFINANCE(D$1, ""price"", $A$2, TODAY()), 2, FALSE), """")"),119.32)</f>
        <v>119.32</v>
      </c>
      <c r="E158" s="18">
        <f>IFERROR(__xludf.DUMMYFUNCTION("IFERROR(VLOOKUP($A158, GOOGLEFINANCE(E$1, ""price"", $A$2, TODAY()), 2, FALSE), """")"),53.8)</f>
        <v>53.8</v>
      </c>
      <c r="F158" s="18">
        <f>IFERROR(__xludf.DUMMYFUNCTION("IFERROR(VLOOKUP($A158, GOOGLEFINANCE(F$1, ""price"", $A$2, TODAY()), 2, FALSE), """")"),117.35)</f>
        <v>117.35</v>
      </c>
      <c r="G158" s="18">
        <f>IFERROR(__xludf.DUMMYFUNCTION("IFERROR(VLOOKUP($A158, GOOGLEFINANCE(G$1, ""price"", $A$2, TODAY()), 2, FALSE), """")"),138.11)</f>
        <v>138.11</v>
      </c>
      <c r="H158" s="18">
        <f>IFERROR(__xludf.DUMMYFUNCTION("IFERROR(VLOOKUP($A158, GOOGLEFINANCE(H$1, ""price"", $A$2, TODAY()), 2, FALSE), """")"),80.32)</f>
        <v>80.32</v>
      </c>
      <c r="I158" s="18">
        <f>IFERROR(__xludf.DUMMYFUNCTION("IFERROR(VLOOKUP($A158, GOOGLEFINANCE(I$1, ""price"", $A$2, TODAY()), 2, FALSE), """")"),151.58)</f>
        <v>151.58</v>
      </c>
      <c r="J158" s="18">
        <f>IFERROR(__xludf.DUMMYFUNCTION("IFERROR(VLOOKUP($A158, GOOGLEFINANCE(J$1, ""price"", $A$2, TODAY()), 2, FALSE), """")"),44.3)</f>
        <v>44.3</v>
      </c>
      <c r="K158" s="18">
        <f>IFERROR(__xludf.DUMMYFUNCTION("IFERROR(VLOOKUP($A158, GOOGLEFINANCE(K$1, ""price"", $A$2, TODAY()), 2, FALSE), """")"),45.84)</f>
        <v>45.84</v>
      </c>
      <c r="L158" s="18">
        <f>IFERROR(__xludf.DUMMYFUNCTION("IFERROR(VLOOKUP($A158, GOOGLEFINANCE(L$1, ""price"", $A$2, TODAY()), 2, FALSE), """")"),42.75)</f>
        <v>42.75</v>
      </c>
      <c r="M158" s="196">
        <f>IFERROR(__xludf.DUMMYFUNCTION("IFERROR(VLOOKUP($A158, GOOGLEFINANCE(M$1, ""price"", $A$2, TODAY()), 2, FALSE), """")"),42.35)</f>
        <v>42.35</v>
      </c>
      <c r="O158" s="18">
        <v>0.20602059597511446</v>
      </c>
      <c r="P158" s="18">
        <v>0.18150012929526474</v>
      </c>
      <c r="Q158" s="18">
        <v>0.08183629698361752</v>
      </c>
      <c r="R158" s="18">
        <v>0.17850352139456352</v>
      </c>
      <c r="S158" s="18">
        <v>0.21008198840905984</v>
      </c>
      <c r="T158" s="18">
        <v>0.12217641958595092</v>
      </c>
      <c r="U158" s="18">
        <v>0.23057148507019976</v>
      </c>
      <c r="V158" s="18">
        <v>0.06738564974673339</v>
      </c>
      <c r="W158" s="18">
        <v>0.0697281757198704</v>
      </c>
      <c r="X158" s="18">
        <v>0.06502791256597862</v>
      </c>
      <c r="Y158" s="196">
        <v>0.06441946426126771</v>
      </c>
      <c r="AA158" s="18">
        <v>-0.019533417835340128</v>
      </c>
      <c r="AB158" s="18">
        <v>-0.0019748482745053364</v>
      </c>
      <c r="AC158" s="18">
        <v>0.0011935540650129806</v>
      </c>
      <c r="AD158" s="18">
        <v>-0.007848696511415953</v>
      </c>
      <c r="AE158" s="18">
        <v>0.015597754440185296</v>
      </c>
      <c r="AF158" s="18">
        <v>0.02152292364821906</v>
      </c>
      <c r="AG158" s="18">
        <v>-5.858500451176862E-4</v>
      </c>
      <c r="AH158" s="18">
        <v>0.010480247105896012</v>
      </c>
      <c r="AI158" s="18">
        <v>0.01890335150325817</v>
      </c>
      <c r="AJ158" s="18">
        <v>0.015984594398305463</v>
      </c>
      <c r="AK158" s="18">
        <v>0.021629592119555063</v>
      </c>
    </row>
    <row r="159">
      <c r="A159" s="230">
        <f>IFERROR(__xludf.DUMMYFUNCTION("""COMPUTED_VALUE"""),45915.66666666667)</f>
        <v>45915.66667</v>
      </c>
      <c r="B159" s="18">
        <f>IFERROR(__xludf.DUMMYFUNCTION("""COMPUTED_VALUE"""),660.91)</f>
        <v>660.91</v>
      </c>
      <c r="C159" s="18">
        <f>IFERROR(__xludf.DUMMYFUNCTION("IFERROR(VLOOKUP($A159, GOOGLEFINANCE(C$1, ""price"", $A$2, TODAY()), 2, FALSE), """")"),136.66)</f>
        <v>136.66</v>
      </c>
      <c r="D159" s="18">
        <f>IFERROR(__xludf.DUMMYFUNCTION("IFERROR(VLOOKUP($A159, GOOGLEFINANCE(D$1, ""price"", $A$2, TODAY()), 2, FALSE), """")"),120.35)</f>
        <v>120.35</v>
      </c>
      <c r="E159" s="18">
        <f>IFERROR(__xludf.DUMMYFUNCTION("IFERROR(VLOOKUP($A159, GOOGLEFINANCE(E$1, ""price"", $A$2, TODAY()), 2, FALSE), """")"),53.68)</f>
        <v>53.68</v>
      </c>
      <c r="F159" s="18">
        <f>IFERROR(__xludf.DUMMYFUNCTION("IFERROR(VLOOKUP($A159, GOOGLEFINANCE(F$1, ""price"", $A$2, TODAY()), 2, FALSE), """")"),119.0)</f>
        <v>119</v>
      </c>
      <c r="G159" s="18">
        <f>IFERROR(__xludf.DUMMYFUNCTION("IFERROR(VLOOKUP($A159, GOOGLEFINANCE(G$1, ""price"", $A$2, TODAY()), 2, FALSE), """")"),136.93)</f>
        <v>136.93</v>
      </c>
      <c r="H159" s="18">
        <f>IFERROR(__xludf.DUMMYFUNCTION("IFERROR(VLOOKUP($A159, GOOGLEFINANCE(H$1, ""price"", $A$2, TODAY()), 2, FALSE), """")"),79.4)</f>
        <v>79.4</v>
      </c>
      <c r="I159" s="18">
        <f>IFERROR(__xludf.DUMMYFUNCTION("IFERROR(VLOOKUP($A159, GOOGLEFINANCE(I$1, ""price"", $A$2, TODAY()), 2, FALSE), """")"),152.28)</f>
        <v>152.28</v>
      </c>
      <c r="J159" s="18">
        <f>IFERROR(__xludf.DUMMYFUNCTION("IFERROR(VLOOKUP($A159, GOOGLEFINANCE(J$1, ""price"", $A$2, TODAY()), 2, FALSE), """")"),44.15)</f>
        <v>44.15</v>
      </c>
      <c r="K159" s="18">
        <f>IFERROR(__xludf.DUMMYFUNCTION("IFERROR(VLOOKUP($A159, GOOGLEFINANCE(K$1, ""price"", $A$2, TODAY()), 2, FALSE), """")"),45.47)</f>
        <v>45.47</v>
      </c>
      <c r="L159" s="18">
        <f>IFERROR(__xludf.DUMMYFUNCTION("IFERROR(VLOOKUP($A159, GOOGLEFINANCE(L$1, ""price"", $A$2, TODAY()), 2, FALSE), """")"),42.85)</f>
        <v>42.85</v>
      </c>
      <c r="M159" s="196">
        <f>IFERROR(__xludf.DUMMYFUNCTION("IFERROR(VLOOKUP($A159, GOOGLEFINANCE(M$1, ""price"", $A$2, TODAY()), 2, FALSE), """")"),42.3)</f>
        <v>42.3</v>
      </c>
      <c r="O159" s="18">
        <v>0.20677550649861556</v>
      </c>
      <c r="P159" s="18">
        <v>0.18209741114523914</v>
      </c>
      <c r="Q159" s="18">
        <v>0.08122134632552087</v>
      </c>
      <c r="R159" s="18">
        <v>0.1800547729645489</v>
      </c>
      <c r="S159" s="18">
        <v>0.20718403413475361</v>
      </c>
      <c r="T159" s="18">
        <v>0.12013738633096792</v>
      </c>
      <c r="U159" s="18">
        <v>0.23040958678186138</v>
      </c>
      <c r="V159" s="18">
        <v>0.06680183383516666</v>
      </c>
      <c r="W159" s="18">
        <v>0.06879908005628603</v>
      </c>
      <c r="X159" s="18">
        <v>0.0648348489204279</v>
      </c>
      <c r="Y159" s="196">
        <v>0.06400266299496149</v>
      </c>
      <c r="AA159" s="18">
        <v>-0.024367234461637244</v>
      </c>
      <c r="AB159" s="18">
        <v>0.01115694602457551</v>
      </c>
      <c r="AC159" s="18">
        <v>0.002993381179821064</v>
      </c>
      <c r="AD159" s="18">
        <v>0.012546169705513588</v>
      </c>
      <c r="AE159" s="18">
        <v>0.011187889353869052</v>
      </c>
      <c r="AF159" s="18">
        <v>0.027609218842260752</v>
      </c>
      <c r="AG159" s="18">
        <v>0.004224371566120544</v>
      </c>
      <c r="AH159" s="18">
        <v>0.016107091118670924</v>
      </c>
      <c r="AI159" s="18">
        <v>0.015224132434914273</v>
      </c>
      <c r="AJ159" s="18">
        <v>0.014893677326247579</v>
      </c>
      <c r="AK159" s="18">
        <v>0.024226920843775313</v>
      </c>
    </row>
    <row r="160">
      <c r="A160" s="230">
        <f>IFERROR(__xludf.DUMMYFUNCTION("""COMPUTED_VALUE"""),45916.66666666667)</f>
        <v>45916.66667</v>
      </c>
      <c r="B160" s="18">
        <f>IFERROR(__xludf.DUMMYFUNCTION("""COMPUTED_VALUE"""),660.0)</f>
        <v>660</v>
      </c>
      <c r="C160" s="18">
        <f>IFERROR(__xludf.DUMMYFUNCTION("IFERROR(VLOOKUP($A160, GOOGLEFINANCE(C$1, ""price"", $A$2, TODAY()), 2, FALSE), """")"),136.19)</f>
        <v>136.19</v>
      </c>
      <c r="D160" s="18">
        <f>IFERROR(__xludf.DUMMYFUNCTION("IFERROR(VLOOKUP($A160, GOOGLEFINANCE(D$1, ""price"", $A$2, TODAY()), 2, FALSE), """")"),121.09)</f>
        <v>121.09</v>
      </c>
      <c r="E160" s="18">
        <f>IFERROR(__xludf.DUMMYFUNCTION("IFERROR(VLOOKUP($A160, GOOGLEFINANCE(E$1, ""price"", $A$2, TODAY()), 2, FALSE), """")"),53.56)</f>
        <v>53.56</v>
      </c>
      <c r="F160" s="18">
        <f>IFERROR(__xludf.DUMMYFUNCTION("IFERROR(VLOOKUP($A160, GOOGLEFINANCE(F$1, ""price"", $A$2, TODAY()), 2, FALSE), """")"),118.52)</f>
        <v>118.52</v>
      </c>
      <c r="G160" s="18">
        <f>IFERROR(__xludf.DUMMYFUNCTION("IFERROR(VLOOKUP($A160, GOOGLEFINANCE(G$1, ""price"", $A$2, TODAY()), 2, FALSE), """")"),136.93)</f>
        <v>136.93</v>
      </c>
      <c r="H160" s="18">
        <f>IFERROR(__xludf.DUMMYFUNCTION("IFERROR(VLOOKUP($A160, GOOGLEFINANCE(H$1, ""price"", $A$2, TODAY()), 2, FALSE), """")"),79.76)</f>
        <v>79.76</v>
      </c>
      <c r="I160" s="18">
        <f>IFERROR(__xludf.DUMMYFUNCTION("IFERROR(VLOOKUP($A160, GOOGLEFINANCE(I$1, ""price"", $A$2, TODAY()), 2, FALSE), """")"),151.83)</f>
        <v>151.83</v>
      </c>
      <c r="J160" s="18">
        <f>IFERROR(__xludf.DUMMYFUNCTION("IFERROR(VLOOKUP($A160, GOOGLEFINANCE(J$1, ""price"", $A$2, TODAY()), 2, FALSE), """")"),44.89)</f>
        <v>44.89</v>
      </c>
      <c r="K160" s="18">
        <f>IFERROR(__xludf.DUMMYFUNCTION("IFERROR(VLOOKUP($A160, GOOGLEFINANCE(K$1, ""price"", $A$2, TODAY()), 2, FALSE), """")"),45.33)</f>
        <v>45.33</v>
      </c>
      <c r="L160" s="18">
        <f>IFERROR(__xludf.DUMMYFUNCTION("IFERROR(VLOOKUP($A160, GOOGLEFINANCE(L$1, ""price"", $A$2, TODAY()), 2, FALSE), """")"),42.07)</f>
        <v>42.07</v>
      </c>
      <c r="M160" s="196">
        <f>IFERROR(__xludf.DUMMYFUNCTION("IFERROR(VLOOKUP($A160, GOOGLEFINANCE(M$1, ""price"", $A$2, TODAY()), 2, FALSE), """")"),42.05)</f>
        <v>42.05</v>
      </c>
      <c r="O160" s="18">
        <v>0.20634848484848484</v>
      </c>
      <c r="P160" s="18">
        <v>0.18346969696969698</v>
      </c>
      <c r="Q160" s="18">
        <v>0.08115151515151516</v>
      </c>
      <c r="R160" s="18">
        <v>0.17957575757575758</v>
      </c>
      <c r="S160" s="18">
        <v>0.20746969696969697</v>
      </c>
      <c r="T160" s="18">
        <v>0.12084848484848486</v>
      </c>
      <c r="U160" s="18">
        <v>0.23004545454545455</v>
      </c>
      <c r="V160" s="18">
        <v>0.06801515151515151</v>
      </c>
      <c r="W160" s="18">
        <v>0.06868181818181818</v>
      </c>
      <c r="X160" s="18">
        <v>0.06374242424242424</v>
      </c>
      <c r="Y160" s="196">
        <v>0.0637121212121212</v>
      </c>
      <c r="AA160" s="18">
        <v>-0.023250455810694293</v>
      </c>
      <c r="AB160" s="18">
        <v>0.022855898850645096</v>
      </c>
      <c r="AC160" s="18">
        <v>0.0011253043831169762</v>
      </c>
      <c r="AD160" s="18">
        <v>0.005797130156390606</v>
      </c>
      <c r="AE160" s="18">
        <v>0.004790256515793345</v>
      </c>
      <c r="AF160" s="18">
        <v>0.022947334222892746</v>
      </c>
      <c r="AG160" s="18">
        <v>-0.003081247326901959</v>
      </c>
      <c r="AH160" s="18">
        <v>0.011624324654937013</v>
      </c>
      <c r="AI160" s="18">
        <v>0.011333673098659958</v>
      </c>
      <c r="AJ160" s="18">
        <v>-0.012736730924376771</v>
      </c>
      <c r="AK160" s="18">
        <v>0.006059902597402633</v>
      </c>
    </row>
    <row r="161">
      <c r="A161" s="230">
        <f>IFERROR(__xludf.DUMMYFUNCTION("""COMPUTED_VALUE"""),45917.66666666667)</f>
        <v>45917.66667</v>
      </c>
      <c r="B161" s="18">
        <f>IFERROR(__xludf.DUMMYFUNCTION("""COMPUTED_VALUE"""),659.18)</f>
        <v>659.18</v>
      </c>
      <c r="C161" s="18">
        <f>IFERROR(__xludf.DUMMYFUNCTION("IFERROR(VLOOKUP($A161, GOOGLEFINANCE(C$1, ""price"", $A$2, TODAY()), 2, FALSE), """")"),135.72)</f>
        <v>135.72</v>
      </c>
      <c r="D161" s="18">
        <f>IFERROR(__xludf.DUMMYFUNCTION("IFERROR(VLOOKUP($A161, GOOGLEFINANCE(D$1, ""price"", $A$2, TODAY()), 2, FALSE), """")"),120.79)</f>
        <v>120.79</v>
      </c>
      <c r="E161" s="18">
        <f>IFERROR(__xludf.DUMMYFUNCTION("IFERROR(VLOOKUP($A161, GOOGLEFINANCE(E$1, ""price"", $A$2, TODAY()), 2, FALSE), """")"),54.08)</f>
        <v>54.08</v>
      </c>
      <c r="F161" s="18">
        <f>IFERROR(__xludf.DUMMYFUNCTION("IFERROR(VLOOKUP($A161, GOOGLEFINANCE(F$1, ""price"", $A$2, TODAY()), 2, FALSE), """")"),118.83)</f>
        <v>118.83</v>
      </c>
      <c r="G161" s="18">
        <f>IFERROR(__xludf.DUMMYFUNCTION("IFERROR(VLOOKUP($A161, GOOGLEFINANCE(G$1, ""price"", $A$2, TODAY()), 2, FALSE), """")"),137.2)</f>
        <v>137.2</v>
      </c>
      <c r="H161" s="18">
        <f>IFERROR(__xludf.DUMMYFUNCTION("IFERROR(VLOOKUP($A161, GOOGLEFINANCE(H$1, ""price"", $A$2, TODAY()), 2, FALSE), """")"),80.24)</f>
        <v>80.24</v>
      </c>
      <c r="I161" s="18">
        <f>IFERROR(__xludf.DUMMYFUNCTION("IFERROR(VLOOKUP($A161, GOOGLEFINANCE(I$1, ""price"", $A$2, TODAY()), 2, FALSE), """")"),151.14)</f>
        <v>151.14</v>
      </c>
      <c r="J161" s="18">
        <f>IFERROR(__xludf.DUMMYFUNCTION("IFERROR(VLOOKUP($A161, GOOGLEFINANCE(J$1, ""price"", $A$2, TODAY()), 2, FALSE), """")"),45.0)</f>
        <v>45</v>
      </c>
      <c r="K161" s="18">
        <f>IFERROR(__xludf.DUMMYFUNCTION("IFERROR(VLOOKUP($A161, GOOGLEFINANCE(K$1, ""price"", $A$2, TODAY()), 2, FALSE), """")"),45.44)</f>
        <v>45.44</v>
      </c>
      <c r="L161" s="18">
        <f>IFERROR(__xludf.DUMMYFUNCTION("IFERROR(VLOOKUP($A161, GOOGLEFINANCE(L$1, ""price"", $A$2, TODAY()), 2, FALSE), """")"),42.18)</f>
        <v>42.18</v>
      </c>
      <c r="M161" s="196">
        <f>IFERROR(__xludf.DUMMYFUNCTION("IFERROR(VLOOKUP($A161, GOOGLEFINANCE(M$1, ""price"", $A$2, TODAY()), 2, FALSE), """")"),42.03)</f>
        <v>42.03</v>
      </c>
      <c r="O161" s="18">
        <v>0.20589216905852728</v>
      </c>
      <c r="P161" s="18">
        <v>0.183242816833035</v>
      </c>
      <c r="Q161" s="18">
        <v>0.08204132406929822</v>
      </c>
      <c r="R161" s="18">
        <v>0.18026942565005008</v>
      </c>
      <c r="S161" s="18">
        <v>0.20813738280894445</v>
      </c>
      <c r="T161" s="18">
        <v>0.12172699414423982</v>
      </c>
      <c r="U161" s="18">
        <v>0.22928486907976578</v>
      </c>
      <c r="V161" s="18">
        <v>0.06826663430322523</v>
      </c>
      <c r="W161" s="18">
        <v>0.06893413028307897</v>
      </c>
      <c r="X161" s="18">
        <v>0.06398859188688978</v>
      </c>
      <c r="Y161" s="196">
        <v>0.06376103643921237</v>
      </c>
      <c r="AA161" s="18">
        <v>-0.022511217489462165</v>
      </c>
      <c r="AB161" s="18">
        <v>0.011200552657090634</v>
      </c>
      <c r="AC161" s="18">
        <v>0.011705266596027997</v>
      </c>
      <c r="AD161" s="18">
        <v>0.014869431127038313</v>
      </c>
      <c r="AE161" s="18">
        <v>0.008868859703740739</v>
      </c>
      <c r="AF161" s="18">
        <v>0.024881760427368338</v>
      </c>
      <c r="AG161" s="18">
        <v>-0.004399166183033376</v>
      </c>
      <c r="AH161" s="18">
        <v>0.012134378512271837</v>
      </c>
      <c r="AI161" s="18">
        <v>0.024328018209564206</v>
      </c>
      <c r="AJ161" s="18">
        <v>-0.012077111246547423</v>
      </c>
      <c r="AK161" s="18">
        <v>0.014010613181700826</v>
      </c>
    </row>
    <row r="162">
      <c r="A162" s="230">
        <f>IFERROR(__xludf.DUMMYFUNCTION("""COMPUTED_VALUE"""),45918.66666666667)</f>
        <v>45918.66667</v>
      </c>
      <c r="B162" s="18">
        <f>IFERROR(__xludf.DUMMYFUNCTION("""COMPUTED_VALUE"""),662.26)</f>
        <v>662.26</v>
      </c>
      <c r="C162" s="18">
        <f>IFERROR(__xludf.DUMMYFUNCTION("IFERROR(VLOOKUP($A162, GOOGLEFINANCE(C$1, ""price"", $A$2, TODAY()), 2, FALSE), """")"),138.06)</f>
        <v>138.06</v>
      </c>
      <c r="D162" s="18">
        <f>IFERROR(__xludf.DUMMYFUNCTION("IFERROR(VLOOKUP($A162, GOOGLEFINANCE(D$1, ""price"", $A$2, TODAY()), 2, FALSE), """")"),120.24)</f>
        <v>120.24</v>
      </c>
      <c r="E162" s="18">
        <f>IFERROR(__xludf.DUMMYFUNCTION("IFERROR(VLOOKUP($A162, GOOGLEFINANCE(E$1, ""price"", $A$2, TODAY()), 2, FALSE), """")"),54.13)</f>
        <v>54.13</v>
      </c>
      <c r="F162" s="18">
        <f>IFERROR(__xludf.DUMMYFUNCTION("IFERROR(VLOOKUP($A162, GOOGLEFINANCE(F$1, ""price"", $A$2, TODAY()), 2, FALSE), """")"),118.92)</f>
        <v>118.92</v>
      </c>
      <c r="G162" s="18">
        <f>IFERROR(__xludf.DUMMYFUNCTION("IFERROR(VLOOKUP($A162, GOOGLEFINANCE(G$1, ""price"", $A$2, TODAY()), 2, FALSE), """")"),137.47)</f>
        <v>137.47</v>
      </c>
      <c r="H162" s="18">
        <f>IFERROR(__xludf.DUMMYFUNCTION("IFERROR(VLOOKUP($A162, GOOGLEFINANCE(H$1, ""price"", $A$2, TODAY()), 2, FALSE), """")"),79.54)</f>
        <v>79.54</v>
      </c>
      <c r="I162" s="18">
        <f>IFERROR(__xludf.DUMMYFUNCTION("IFERROR(VLOOKUP($A162, GOOGLEFINANCE(I$1, ""price"", $A$2, TODAY()), 2, FALSE), """")"),152.75)</f>
        <v>152.75</v>
      </c>
      <c r="J162" s="18">
        <f>IFERROR(__xludf.DUMMYFUNCTION("IFERROR(VLOOKUP($A162, GOOGLEFINANCE(J$1, ""price"", $A$2, TODAY()), 2, FALSE), """")"),44.86)</f>
        <v>44.86</v>
      </c>
      <c r="K162" s="18">
        <f>IFERROR(__xludf.DUMMYFUNCTION("IFERROR(VLOOKUP($A162, GOOGLEFINANCE(K$1, ""price"", $A$2, TODAY()), 2, FALSE), """")"),45.44)</f>
        <v>45.44</v>
      </c>
      <c r="L162" s="18">
        <f>IFERROR(__xludf.DUMMYFUNCTION("IFERROR(VLOOKUP($A162, GOOGLEFINANCE(L$1, ""price"", $A$2, TODAY()), 2, FALSE), """")"),42.21)</f>
        <v>42.21</v>
      </c>
      <c r="M162" s="196">
        <f>IFERROR(__xludf.DUMMYFUNCTION("IFERROR(VLOOKUP($A162, GOOGLEFINANCE(M$1, ""price"", $A$2, TODAY()), 2, FALSE), """")"),42.06)</f>
        <v>42.06</v>
      </c>
      <c r="O162" s="18">
        <v>0.2084679733035364</v>
      </c>
      <c r="P162" s="18">
        <v>0.18156011234258448</v>
      </c>
      <c r="Q162" s="18">
        <v>0.0817352701355963</v>
      </c>
      <c r="R162" s="18">
        <v>0.17956693745658805</v>
      </c>
      <c r="S162" s="18">
        <v>0.20757708452873494</v>
      </c>
      <c r="T162" s="18">
        <v>0.1201038866910277</v>
      </c>
      <c r="U162" s="18">
        <v>0.23064959381511793</v>
      </c>
      <c r="V162" s="18">
        <v>0.06773774650439404</v>
      </c>
      <c r="W162" s="18">
        <v>0.06861353546945308</v>
      </c>
      <c r="X162" s="18">
        <v>0.06373629692265878</v>
      </c>
      <c r="Y162" s="196">
        <v>0.06350979977652282</v>
      </c>
      <c r="AA162" s="18">
        <v>-0.013076619910848075</v>
      </c>
      <c r="AB162" s="18">
        <v>0.01156237344033273</v>
      </c>
      <c r="AC162" s="18">
        <v>0.005907883163065897</v>
      </c>
      <c r="AD162" s="18">
        <v>0.009690021304859853</v>
      </c>
      <c r="AE162" s="18">
        <v>0.0183858978165512</v>
      </c>
      <c r="AF162" s="18">
        <v>0.01625771681922039</v>
      </c>
      <c r="AG162" s="18">
        <v>0.0036963709167989744</v>
      </c>
      <c r="AH162" s="18" t="s">
        <v>406</v>
      </c>
      <c r="AI162" s="18">
        <v>0.028265475191837863</v>
      </c>
      <c r="AJ162" s="18" t="s">
        <v>406</v>
      </c>
      <c r="AK162" s="18">
        <v>0.007779689967225556</v>
      </c>
    </row>
    <row r="163">
      <c r="A163" s="230">
        <f>IFERROR(__xludf.DUMMYFUNCTION("""COMPUTED_VALUE"""),45919.66666666667)</f>
        <v>45919.66667</v>
      </c>
      <c r="B163" s="18">
        <f>IFERROR(__xludf.DUMMYFUNCTION("""COMPUTED_VALUE"""),663.7)</f>
        <v>663.7</v>
      </c>
      <c r="C163" s="18">
        <f>IFERROR(__xludf.DUMMYFUNCTION("IFERROR(VLOOKUP($A163, GOOGLEFINANCE(C$1, ""price"", $A$2, TODAY()), 2, FALSE), """")"),139.46)</f>
        <v>139.46</v>
      </c>
      <c r="D163" s="18">
        <f>IFERROR(__xludf.DUMMYFUNCTION("IFERROR(VLOOKUP($A163, GOOGLEFINANCE(D$1, ""price"", $A$2, TODAY()), 2, FALSE), """")"),120.7)</f>
        <v>120.7</v>
      </c>
      <c r="E163" s="18">
        <f>IFERROR(__xludf.DUMMYFUNCTION("IFERROR(VLOOKUP($A163, GOOGLEFINANCE(E$1, ""price"", $A$2, TODAY()), 2, FALSE), """")"),54.25)</f>
        <v>54.25</v>
      </c>
      <c r="F163" s="18">
        <f>IFERROR(__xludf.DUMMYFUNCTION("IFERROR(VLOOKUP($A163, GOOGLEFINANCE(F$1, ""price"", $A$2, TODAY()), 2, FALSE), """")"),119.41)</f>
        <v>119.41</v>
      </c>
      <c r="G163" s="18">
        <f>IFERROR(__xludf.DUMMYFUNCTION("IFERROR(VLOOKUP($A163, GOOGLEFINANCE(G$1, ""price"", $A$2, TODAY()), 2, FALSE), """")"),137.29)</f>
        <v>137.29</v>
      </c>
      <c r="H163" s="18">
        <f>IFERROR(__xludf.DUMMYFUNCTION("IFERROR(VLOOKUP($A163, GOOGLEFINANCE(H$1, ""price"", $A$2, TODAY()), 2, FALSE), """")"),79.38)</f>
        <v>79.38</v>
      </c>
      <c r="I163" s="18">
        <f>IFERROR(__xludf.DUMMYFUNCTION("IFERROR(VLOOKUP($A163, GOOGLEFINANCE(I$1, ""price"", $A$2, TODAY()), 2, FALSE), """")"),153.12)</f>
        <v>153.12</v>
      </c>
      <c r="J163" s="18">
        <f>IFERROR(__xludf.DUMMYFUNCTION("IFERROR(VLOOKUP($A163, GOOGLEFINANCE(J$1, ""price"", $A$2, TODAY()), 2, FALSE), """")"),44.26)</f>
        <v>44.26</v>
      </c>
      <c r="K163" s="18">
        <f>IFERROR(__xludf.DUMMYFUNCTION("IFERROR(VLOOKUP($A163, GOOGLEFINANCE(K$1, ""price"", $A$2, TODAY()), 2, FALSE), """")"),45.42)</f>
        <v>45.42</v>
      </c>
      <c r="L163" s="18">
        <f>IFERROR(__xludf.DUMMYFUNCTION("IFERROR(VLOOKUP($A163, GOOGLEFINANCE(L$1, ""price"", $A$2, TODAY()), 2, FALSE), """")"),42.48)</f>
        <v>42.48</v>
      </c>
      <c r="M163" s="196">
        <f>IFERROR(__xludf.DUMMYFUNCTION("IFERROR(VLOOKUP($A163, GOOGLEFINANCE(M$1, ""price"", $A$2, TODAY()), 2, FALSE), """")"),41.85)</f>
        <v>41.85</v>
      </c>
      <c r="O163" s="18">
        <v>0.21012505650143137</v>
      </c>
      <c r="P163" s="18">
        <v>0.1818592737682688</v>
      </c>
      <c r="Q163" s="18">
        <v>0.08173873738134699</v>
      </c>
      <c r="R163" s="18">
        <v>0.17991562452915472</v>
      </c>
      <c r="S163" s="18">
        <v>0.20685550700617747</v>
      </c>
      <c r="T163" s="18">
        <v>0.11960222992315804</v>
      </c>
      <c r="U163" s="18">
        <v>0.23070664456832907</v>
      </c>
      <c r="V163" s="18">
        <v>0.06668675606448696</v>
      </c>
      <c r="W163" s="18">
        <v>0.0684345336748531</v>
      </c>
      <c r="X163" s="18">
        <v>0.06400482145547687</v>
      </c>
      <c r="Y163" s="196">
        <v>0.06305559740846768</v>
      </c>
      <c r="AA163" s="18">
        <v>-0.002546514891856644</v>
      </c>
      <c r="AB163" s="18">
        <v>0.0041557197173007765</v>
      </c>
      <c r="AC163" s="18">
        <v>0.004387879200205447</v>
      </c>
      <c r="AD163" s="18">
        <v>0.007631028398791484</v>
      </c>
      <c r="AE163" s="18">
        <v>0.010340307356667022</v>
      </c>
      <c r="AF163" s="18">
        <v>0.015330269468246227</v>
      </c>
      <c r="AG163" s="18">
        <v>6.964969734666315E-4</v>
      </c>
      <c r="AH163" s="18">
        <v>-0.04055154568263564</v>
      </c>
      <c r="AI163" s="18">
        <v>0.0196160080299701</v>
      </c>
      <c r="AJ163" s="18">
        <v>-0.02419555550187269</v>
      </c>
      <c r="AK163" s="18">
        <v>-0.003546908384143177</v>
      </c>
    </row>
    <row r="164">
      <c r="A164" s="230">
        <f>IFERROR(__xludf.DUMMYFUNCTION("""COMPUTED_VALUE"""),45922.66666666667)</f>
        <v>45922.66667</v>
      </c>
      <c r="B164" s="18">
        <f>IFERROR(__xludf.DUMMYFUNCTION("""COMPUTED_VALUE"""),666.84)</f>
        <v>666.84</v>
      </c>
      <c r="C164" s="18">
        <f>IFERROR(__xludf.DUMMYFUNCTION("IFERROR(VLOOKUP($A164, GOOGLEFINANCE(C$1, ""price"", $A$2, TODAY()), 2, FALSE), """")"),141.33)</f>
        <v>141.33</v>
      </c>
      <c r="D164" s="18">
        <f>IFERROR(__xludf.DUMMYFUNCTION("IFERROR(VLOOKUP($A164, GOOGLEFINANCE(D$1, ""price"", $A$2, TODAY()), 2, FALSE), """")"),120.09)</f>
        <v>120.09</v>
      </c>
      <c r="E164" s="18">
        <f>IFERROR(__xludf.DUMMYFUNCTION("IFERROR(VLOOKUP($A164, GOOGLEFINANCE(E$1, ""price"", $A$2, TODAY()), 2, FALSE), """")"),54.0)</f>
        <v>54</v>
      </c>
      <c r="F164" s="18">
        <f>IFERROR(__xludf.DUMMYFUNCTION("IFERROR(VLOOKUP($A164, GOOGLEFINANCE(F$1, ""price"", $A$2, TODAY()), 2, FALSE), """")"),118.58)</f>
        <v>118.58</v>
      </c>
      <c r="G164" s="18">
        <f>IFERROR(__xludf.DUMMYFUNCTION("IFERROR(VLOOKUP($A164, GOOGLEFINANCE(G$1, ""price"", $A$2, TODAY()), 2, FALSE), """")"),136.63)</f>
        <v>136.63</v>
      </c>
      <c r="H164" s="18">
        <f>IFERROR(__xludf.DUMMYFUNCTION("IFERROR(VLOOKUP($A164, GOOGLEFINANCE(H$1, ""price"", $A$2, TODAY()), 2, FALSE), """")"),77.96)</f>
        <v>77.96</v>
      </c>
      <c r="I164" s="18">
        <f>IFERROR(__xludf.DUMMYFUNCTION("IFERROR(VLOOKUP($A164, GOOGLEFINANCE(I$1, ""price"", $A$2, TODAY()), 2, FALSE), """")"),153.0)</f>
        <v>153</v>
      </c>
      <c r="J164" s="18">
        <f>IFERROR(__xludf.DUMMYFUNCTION("IFERROR(VLOOKUP($A164, GOOGLEFINANCE(J$1, ""price"", $A$2, TODAY()), 2, FALSE), """")"),43.84)</f>
        <v>43.84</v>
      </c>
      <c r="K164" s="18">
        <f>IFERROR(__xludf.DUMMYFUNCTION("IFERROR(VLOOKUP($A164, GOOGLEFINANCE(K$1, ""price"", $A$2, TODAY()), 2, FALSE), """")"),45.19)</f>
        <v>45.19</v>
      </c>
      <c r="L164" s="18">
        <f>IFERROR(__xludf.DUMMYFUNCTION("IFERROR(VLOOKUP($A164, GOOGLEFINANCE(L$1, ""price"", $A$2, TODAY()), 2, FALSE), """")"),42.6)</f>
        <v>42.6</v>
      </c>
      <c r="M164" s="196">
        <f>IFERROR(__xludf.DUMMYFUNCTION("IFERROR(VLOOKUP($A164, GOOGLEFINANCE(M$1, ""price"", $A$2, TODAY()), 2, FALSE), """")"),41.67)</f>
        <v>41.67</v>
      </c>
      <c r="O164" s="18">
        <v>0.21193989562713694</v>
      </c>
      <c r="P164" s="18">
        <v>0.18008817707396077</v>
      </c>
      <c r="Q164" s="18">
        <v>0.08097894547417671</v>
      </c>
      <c r="R164" s="18">
        <v>0.17782376582088655</v>
      </c>
      <c r="S164" s="18">
        <v>0.2048917281506808</v>
      </c>
      <c r="T164" s="18">
        <v>0.11690960350308918</v>
      </c>
      <c r="U164" s="18">
        <v>0.22944034551016734</v>
      </c>
      <c r="V164" s="18">
        <v>0.0657429068442205</v>
      </c>
      <c r="W164" s="18">
        <v>0.06776738048107492</v>
      </c>
      <c r="X164" s="18">
        <v>0.06388339031851718</v>
      </c>
      <c r="Y164" s="196">
        <v>0.0624887529242397</v>
      </c>
      <c r="AA164" s="18">
        <v>0.003497680886197063</v>
      </c>
      <c r="AB164" s="18">
        <v>-0.007136390094315659</v>
      </c>
      <c r="AC164" s="18">
        <v>-0.007129012889311004</v>
      </c>
      <c r="AD164" s="18">
        <v>-0.004486909320911114</v>
      </c>
      <c r="AE164" s="18">
        <v>6.073740915659709E-4</v>
      </c>
      <c r="AF164" s="18">
        <v>-0.00665003644949147</v>
      </c>
      <c r="AG164" s="18">
        <v>-0.005063910433271257</v>
      </c>
      <c r="AH164" s="18">
        <v>-0.03361567188544279</v>
      </c>
      <c r="AI164" s="18">
        <v>0.008653399364875414</v>
      </c>
      <c r="AJ164" s="18">
        <v>-0.026002102306605046</v>
      </c>
      <c r="AK164" s="18">
        <v>-0.011617360801730148</v>
      </c>
    </row>
    <row r="165">
      <c r="A165" s="230">
        <f>IFERROR(__xludf.DUMMYFUNCTION("""COMPUTED_VALUE"""),45923.66666666667)</f>
        <v>45923.66667</v>
      </c>
      <c r="B165" s="18">
        <f>IFERROR(__xludf.DUMMYFUNCTION("""COMPUTED_VALUE"""),663.21)</f>
        <v>663.21</v>
      </c>
      <c r="C165" s="18">
        <f>IFERROR(__xludf.DUMMYFUNCTION("IFERROR(VLOOKUP($A165, GOOGLEFINANCE(C$1, ""price"", $A$2, TODAY()), 2, FALSE), """")"),140.11)</f>
        <v>140.11</v>
      </c>
      <c r="D165" s="18">
        <f>IFERROR(__xludf.DUMMYFUNCTION("IFERROR(VLOOKUP($A165, GOOGLEFINANCE(D$1, ""price"", $A$2, TODAY()), 2, FALSE), """")"),118.96)</f>
        <v>118.96</v>
      </c>
      <c r="E165" s="18">
        <f>IFERROR(__xludf.DUMMYFUNCTION("IFERROR(VLOOKUP($A165, GOOGLEFINANCE(E$1, ""price"", $A$2, TODAY()), 2, FALSE), """")"),53.76)</f>
        <v>53.76</v>
      </c>
      <c r="F165" s="18">
        <f>IFERROR(__xludf.DUMMYFUNCTION("IFERROR(VLOOKUP($A165, GOOGLEFINANCE(F$1, ""price"", $A$2, TODAY()), 2, FALSE), """")"),118.41)</f>
        <v>118.41</v>
      </c>
      <c r="G165" s="18">
        <f>IFERROR(__xludf.DUMMYFUNCTION("IFERROR(VLOOKUP($A165, GOOGLEFINANCE(G$1, ""price"", $A$2, TODAY()), 2, FALSE), """")"),136.94)</f>
        <v>136.94</v>
      </c>
      <c r="H165" s="18">
        <f>IFERROR(__xludf.DUMMYFUNCTION("IFERROR(VLOOKUP($A165, GOOGLEFINANCE(H$1, ""price"", $A$2, TODAY()), 2, FALSE), """")"),78.35)</f>
        <v>78.35</v>
      </c>
      <c r="I165" s="18">
        <f>IFERROR(__xludf.DUMMYFUNCTION("IFERROR(VLOOKUP($A165, GOOGLEFINANCE(I$1, ""price"", $A$2, TODAY()), 2, FALSE), """")"),153.04)</f>
        <v>153.04</v>
      </c>
      <c r="J165" s="18">
        <f>IFERROR(__xludf.DUMMYFUNCTION("IFERROR(VLOOKUP($A165, GOOGLEFINANCE(J$1, ""price"", $A$2, TODAY()), 2, FALSE), """")"),44.59)</f>
        <v>44.59</v>
      </c>
      <c r="K165" s="18">
        <f>IFERROR(__xludf.DUMMYFUNCTION("IFERROR(VLOOKUP($A165, GOOGLEFINANCE(K$1, ""price"", $A$2, TODAY()), 2, FALSE), """")"),45.04)</f>
        <v>45.04</v>
      </c>
      <c r="L165" s="18">
        <f>IFERROR(__xludf.DUMMYFUNCTION("IFERROR(VLOOKUP($A165, GOOGLEFINANCE(L$1, ""price"", $A$2, TODAY()), 2, FALSE), """")"),42.82)</f>
        <v>42.82</v>
      </c>
      <c r="M165" s="196">
        <f>IFERROR(__xludf.DUMMYFUNCTION("IFERROR(VLOOKUP($A165, GOOGLEFINANCE(M$1, ""price"", $A$2, TODAY()), 2, FALSE), """")"),42.0)</f>
        <v>42</v>
      </c>
      <c r="O165" s="18">
        <v>0.21126038509672654</v>
      </c>
      <c r="P165" s="18">
        <v>0.1793700336243422</v>
      </c>
      <c r="Q165" s="18">
        <v>0.0810602976432804</v>
      </c>
      <c r="R165" s="18">
        <v>0.17854073370425655</v>
      </c>
      <c r="S165" s="18">
        <v>0.20648060192096016</v>
      </c>
      <c r="T165" s="18">
        <v>0.11813754316129128</v>
      </c>
      <c r="U165" s="18">
        <v>0.23075647230892174</v>
      </c>
      <c r="V165" s="18">
        <v>0.06723360624839794</v>
      </c>
      <c r="W165" s="18">
        <v>0.06791212436483164</v>
      </c>
      <c r="X165" s="18">
        <v>0.06456476832375868</v>
      </c>
      <c r="Y165" s="196">
        <v>0.06332835753381282</v>
      </c>
      <c r="AA165" s="18">
        <v>-0.001366328363462177</v>
      </c>
      <c r="AB165" s="18">
        <v>-0.0027313553675154534</v>
      </c>
      <c r="AC165" s="18">
        <v>0.002427122405801674</v>
      </c>
      <c r="AD165" s="18">
        <v>0.0048176563242512405</v>
      </c>
      <c r="AE165" s="18">
        <v>-0.011617105786410509</v>
      </c>
      <c r="AF165" s="18">
        <v>0.004221877034439325</v>
      </c>
      <c r="AG165" s="18">
        <v>-0.0032720824563476913</v>
      </c>
      <c r="AH165" s="18">
        <v>0.002679288349177078</v>
      </c>
      <c r="AI165" s="18">
        <v>0.009633988158079365</v>
      </c>
      <c r="AJ165" s="18">
        <v>-0.013718015090081193</v>
      </c>
      <c r="AK165" s="18">
        <v>0.0013787140250514085</v>
      </c>
    </row>
    <row r="166">
      <c r="A166" s="230">
        <f>IFERROR(__xludf.DUMMYFUNCTION("""COMPUTED_VALUE"""),45924.66666666667)</f>
        <v>45924.66667</v>
      </c>
      <c r="B166" s="18">
        <f>IFERROR(__xludf.DUMMYFUNCTION("""COMPUTED_VALUE"""),661.1)</f>
        <v>661.1</v>
      </c>
      <c r="C166" s="18">
        <f>IFERROR(__xludf.DUMMYFUNCTION("IFERROR(VLOOKUP($A166, GOOGLEFINANCE(C$1, ""price"", $A$2, TODAY()), 2, FALSE), """")"),139.25)</f>
        <v>139.25</v>
      </c>
      <c r="D166" s="18">
        <f>IFERROR(__xludf.DUMMYFUNCTION("IFERROR(VLOOKUP($A166, GOOGLEFINANCE(D$1, ""price"", $A$2, TODAY()), 2, FALSE), """")"),119.8)</f>
        <v>119.8</v>
      </c>
      <c r="E166" s="18">
        <f>IFERROR(__xludf.DUMMYFUNCTION("IFERROR(VLOOKUP($A166, GOOGLEFINANCE(E$1, ""price"", $A$2, TODAY()), 2, FALSE), """")"),53.61)</f>
        <v>53.61</v>
      </c>
      <c r="F166" s="18">
        <f>IFERROR(__xludf.DUMMYFUNCTION("IFERROR(VLOOKUP($A166, GOOGLEFINANCE(F$1, ""price"", $A$2, TODAY()), 2, FALSE), """")"),117.43)</f>
        <v>117.43</v>
      </c>
      <c r="G166" s="18">
        <f>IFERROR(__xludf.DUMMYFUNCTION("IFERROR(VLOOKUP($A166, GOOGLEFINANCE(G$1, ""price"", $A$2, TODAY()), 2, FALSE), """")"),136.39)</f>
        <v>136.39</v>
      </c>
      <c r="H166" s="18">
        <f>IFERROR(__xludf.DUMMYFUNCTION("IFERROR(VLOOKUP($A166, GOOGLEFINANCE(H$1, ""price"", $A$2, TODAY()), 2, FALSE), """")"),78.52)</f>
        <v>78.52</v>
      </c>
      <c r="I166" s="18">
        <f>IFERROR(__xludf.DUMMYFUNCTION("IFERROR(VLOOKUP($A166, GOOGLEFINANCE(I$1, ""price"", $A$2, TODAY()), 2, FALSE), """")"),152.25)</f>
        <v>152.25</v>
      </c>
      <c r="J166" s="18">
        <f>IFERROR(__xludf.DUMMYFUNCTION("IFERROR(VLOOKUP($A166, GOOGLEFINANCE(J$1, ""price"", $A$2, TODAY()), 2, FALSE), """")"),44.59)</f>
        <v>44.59</v>
      </c>
      <c r="K166" s="18">
        <f>IFERROR(__xludf.DUMMYFUNCTION("IFERROR(VLOOKUP($A166, GOOGLEFINANCE(K$1, ""price"", $A$2, TODAY()), 2, FALSE), """")"),44.49)</f>
        <v>44.49</v>
      </c>
      <c r="L166" s="18">
        <f>IFERROR(__xludf.DUMMYFUNCTION("IFERROR(VLOOKUP($A166, GOOGLEFINANCE(L$1, ""price"", $A$2, TODAY()), 2, FALSE), """")"),42.82)</f>
        <v>42.82</v>
      </c>
      <c r="M166" s="196">
        <f>IFERROR(__xludf.DUMMYFUNCTION("IFERROR(VLOOKUP($A166, GOOGLEFINANCE(M$1, ""price"", $A$2, TODAY()), 2, FALSE), """")"),41.57)</f>
        <v>41.57</v>
      </c>
      <c r="O166" s="18">
        <v>0.21063379216457417</v>
      </c>
      <c r="P166" s="18">
        <v>0.18121312963243077</v>
      </c>
      <c r="Q166" s="18">
        <v>0.08109211919528059</v>
      </c>
      <c r="R166" s="18">
        <v>0.177628195431856</v>
      </c>
      <c r="S166" s="18">
        <v>0.20630766903645437</v>
      </c>
      <c r="T166" s="18">
        <v>0.11877174406292541</v>
      </c>
      <c r="U166" s="18">
        <v>0.23029798820148237</v>
      </c>
      <c r="V166" s="18">
        <v>0.06744819240659507</v>
      </c>
      <c r="W166" s="18">
        <v>0.06729692936015731</v>
      </c>
      <c r="X166" s="18">
        <v>0.0647708364846468</v>
      </c>
      <c r="Y166" s="196">
        <v>0.06288004840417485</v>
      </c>
      <c r="AA166" s="18">
        <v>-0.010623579703396668</v>
      </c>
      <c r="AB166" s="18">
        <v>0.00466050014761854</v>
      </c>
      <c r="AC166" s="18">
        <v>0.01528426814169892</v>
      </c>
      <c r="AD166" s="18">
        <v>0.01735555853332338</v>
      </c>
      <c r="AE166" s="18">
        <v>-0.03877910805452056</v>
      </c>
      <c r="AF166" s="18">
        <v>0.014606675001437752</v>
      </c>
      <c r="AG166" s="18">
        <v>9.27764715740631E-4</v>
      </c>
      <c r="AH166" s="18">
        <v>0.009307011734687176</v>
      </c>
      <c r="AI166" s="18">
        <v>0.014538394921000286</v>
      </c>
      <c r="AJ166" s="18">
        <v>-0.016668960977466396</v>
      </c>
      <c r="AK166" s="18">
        <v>-0.0023221372947856977</v>
      </c>
    </row>
    <row r="167">
      <c r="A167" s="230">
        <f>IFERROR(__xludf.DUMMYFUNCTION("""COMPUTED_VALUE"""),45925.66666666667)</f>
        <v>45925.66667</v>
      </c>
      <c r="B167" s="18">
        <f>IFERROR(__xludf.DUMMYFUNCTION("""COMPUTED_VALUE"""),658.05)</f>
        <v>658.05</v>
      </c>
      <c r="C167" s="18">
        <f>IFERROR(__xludf.DUMMYFUNCTION("IFERROR(VLOOKUP($A167, GOOGLEFINANCE(C$1, ""price"", $A$2, TODAY()), 2, FALSE), """")"),139.0)</f>
        <v>139</v>
      </c>
      <c r="D167" s="18">
        <f>IFERROR(__xludf.DUMMYFUNCTION("IFERROR(VLOOKUP($A167, GOOGLEFINANCE(D$1, ""price"", $A$2, TODAY()), 2, FALSE), """")"),118.11)</f>
        <v>118.11</v>
      </c>
      <c r="E167" s="18">
        <f>IFERROR(__xludf.DUMMYFUNCTION("IFERROR(VLOOKUP($A167, GOOGLEFINANCE(E$1, ""price"", $A$2, TODAY()), 2, FALSE), """")"),53.47)</f>
        <v>53.47</v>
      </c>
      <c r="F167" s="18">
        <f>IFERROR(__xludf.DUMMYFUNCTION("IFERROR(VLOOKUP($A167, GOOGLEFINANCE(F$1, ""price"", $A$2, TODAY()), 2, FALSE), """")"),117.03)</f>
        <v>117.03</v>
      </c>
      <c r="G167" s="18">
        <f>IFERROR(__xludf.DUMMYFUNCTION("IFERROR(VLOOKUP($A167, GOOGLEFINANCE(G$1, ""price"", $A$2, TODAY()), 2, FALSE), """")"),134.13)</f>
        <v>134.13</v>
      </c>
      <c r="H167" s="18">
        <f>IFERROR(__xludf.DUMMYFUNCTION("IFERROR(VLOOKUP($A167, GOOGLEFINANCE(H$1, ""price"", $A$2, TODAY()), 2, FALSE), """")"),77.77)</f>
        <v>77.77</v>
      </c>
      <c r="I167" s="18">
        <f>IFERROR(__xludf.DUMMYFUNCTION("IFERROR(VLOOKUP($A167, GOOGLEFINANCE(I$1, ""price"", $A$2, TODAY()), 2, FALSE), """")"),151.22)</f>
        <v>151.22</v>
      </c>
      <c r="J167" s="18" t="str">
        <f>IFERROR(__xludf.DUMMYFUNCTION("IFERROR(VLOOKUP($A167, GOOGLEFINANCE(J$1, ""price"", $A$2, TODAY()), 2, FALSE), """")"),"")</f>
        <v/>
      </c>
      <c r="K167" s="18">
        <f>IFERROR(__xludf.DUMMYFUNCTION("IFERROR(VLOOKUP($A167, GOOGLEFINANCE(K$1, ""price"", $A$2, TODAY()), 2, FALSE), """")"),43.91)</f>
        <v>43.91</v>
      </c>
      <c r="L167" s="18" t="str">
        <f>IFERROR(__xludf.DUMMYFUNCTION("IFERROR(VLOOKUP($A167, GOOGLEFINANCE(L$1, ""price"", $A$2, TODAY()), 2, FALSE), """")"),"")</f>
        <v/>
      </c>
      <c r="M167" s="196">
        <f>IFERROR(__xludf.DUMMYFUNCTION("IFERROR(VLOOKUP($A167, GOOGLEFINANCE(M$1, ""price"", $A$2, TODAY()), 2, FALSE), """")"),41.47)</f>
        <v>41.47</v>
      </c>
      <c r="O167" s="18">
        <v>0.21123014968467443</v>
      </c>
      <c r="P167" s="18">
        <v>0.17948484157738775</v>
      </c>
      <c r="Q167" s="18">
        <v>0.08125522376719095</v>
      </c>
      <c r="R167" s="18">
        <v>0.17784362890357877</v>
      </c>
      <c r="S167" s="18">
        <v>0.20382949623888763</v>
      </c>
      <c r="T167" s="18">
        <v>0.11818250892789302</v>
      </c>
      <c r="U167" s="18">
        <v>0.22980016716055013</v>
      </c>
      <c r="V167" s="18">
        <v>0.0</v>
      </c>
      <c r="W167" s="18">
        <v>0.06672745232125218</v>
      </c>
      <c r="X167" s="18">
        <v>0.0</v>
      </c>
      <c r="Y167" s="196">
        <v>0.0630195273915356</v>
      </c>
      <c r="AA167" s="18">
        <v>-0.01202515535380344</v>
      </c>
      <c r="AB167" s="18">
        <v>0.0034657116158682832</v>
      </c>
      <c r="AC167" s="18">
        <v>0.019261871592868296</v>
      </c>
      <c r="AD167" s="18">
        <v>0.02203961644356367</v>
      </c>
      <c r="AE167" s="18">
        <v>-0.04737219447595231</v>
      </c>
      <c r="AF167" s="18">
        <v>0.014756205090127983</v>
      </c>
      <c r="AG167" s="18">
        <v>-0.002679196710873022</v>
      </c>
      <c r="AH167" s="18">
        <v>-1.0</v>
      </c>
      <c r="AI167" s="18">
        <v>-0.0045620677122517606</v>
      </c>
      <c r="AJ167" s="18">
        <v>-1.0</v>
      </c>
      <c r="AK167" s="18">
        <v>0.00629749751762021</v>
      </c>
    </row>
    <row r="168">
      <c r="A168" s="230">
        <f>IFERROR(__xludf.DUMMYFUNCTION("""COMPUTED_VALUE"""),45926.66666666667)</f>
        <v>45926.66667</v>
      </c>
      <c r="B168" s="18">
        <f>IFERROR(__xludf.DUMMYFUNCTION("""COMPUTED_VALUE"""),661.82)</f>
        <v>661.82</v>
      </c>
      <c r="C168" s="18">
        <f>IFERROR(__xludf.DUMMYFUNCTION("IFERROR(VLOOKUP($A168, GOOGLEFINANCE(C$1, ""price"", $A$2, TODAY()), 2, FALSE), """")"),139.42)</f>
        <v>139.42</v>
      </c>
      <c r="D168" s="18">
        <f>IFERROR(__xludf.DUMMYFUNCTION("IFERROR(VLOOKUP($A168, GOOGLEFINANCE(D$1, ""price"", $A$2, TODAY()), 2, FALSE), """")"),119.86)</f>
        <v>119.86</v>
      </c>
      <c r="E168" s="18">
        <f>IFERROR(__xludf.DUMMYFUNCTION("IFERROR(VLOOKUP($A168, GOOGLEFINANCE(E$1, ""price"", $A$2, TODAY()), 2, FALSE), """")"),53.86)</f>
        <v>53.86</v>
      </c>
      <c r="F168" s="18">
        <f>IFERROR(__xludf.DUMMYFUNCTION("IFERROR(VLOOKUP($A168, GOOGLEFINANCE(F$1, ""price"", $A$2, TODAY()), 2, FALSE), """")"),118.17)</f>
        <v>118.17</v>
      </c>
      <c r="G168" s="18">
        <f>IFERROR(__xludf.DUMMYFUNCTION("IFERROR(VLOOKUP($A168, GOOGLEFINANCE(G$1, ""price"", $A$2, TODAY()), 2, FALSE), """")"),135.5)</f>
        <v>135.5</v>
      </c>
      <c r="H168" s="18">
        <f>IFERROR(__xludf.DUMMYFUNCTION("IFERROR(VLOOKUP($A168, GOOGLEFINANCE(H$1, ""price"", $A$2, TODAY()), 2, FALSE), """")"),77.96)</f>
        <v>77.96</v>
      </c>
      <c r="I168" s="18">
        <f>IFERROR(__xludf.DUMMYFUNCTION("IFERROR(VLOOKUP($A168, GOOGLEFINANCE(I$1, ""price"", $A$2, TODAY()), 2, FALSE), """")"),152.58)</f>
        <v>152.58</v>
      </c>
      <c r="J168" s="18">
        <f>IFERROR(__xludf.DUMMYFUNCTION("IFERROR(VLOOKUP($A168, GOOGLEFINANCE(J$1, ""price"", $A$2, TODAY()), 2, FALSE), """")"),46.0)</f>
        <v>46</v>
      </c>
      <c r="K168" s="18">
        <f>IFERROR(__xludf.DUMMYFUNCTION("IFERROR(VLOOKUP($A168, GOOGLEFINANCE(K$1, ""price"", $A$2, TODAY()), 2, FALSE), """")"),44.42)</f>
        <v>44.42</v>
      </c>
      <c r="L168" s="18">
        <f>IFERROR(__xludf.DUMMYFUNCTION("IFERROR(VLOOKUP($A168, GOOGLEFINANCE(L$1, ""price"", $A$2, TODAY()), 2, FALSE), """")"),43.41)</f>
        <v>43.41</v>
      </c>
      <c r="M168" s="196">
        <f>IFERROR(__xludf.DUMMYFUNCTION("IFERROR(VLOOKUP($A168, GOOGLEFINANCE(M$1, ""price"", $A$2, TODAY()), 2, FALSE), """")"),41.88)</f>
        <v>41.88</v>
      </c>
      <c r="O168" s="18">
        <v>0.21066150917167806</v>
      </c>
      <c r="P168" s="18">
        <v>0.18110664531141396</v>
      </c>
      <c r="Q168" s="18">
        <v>0.08138164455592155</v>
      </c>
      <c r="R168" s="18">
        <v>0.17855308089812938</v>
      </c>
      <c r="S168" s="18">
        <v>0.2047384485207458</v>
      </c>
      <c r="T168" s="18">
        <v>0.11779637968027558</v>
      </c>
      <c r="U168" s="18">
        <v>0.2305460699283793</v>
      </c>
      <c r="V168" s="18">
        <v>0.06950530355685836</v>
      </c>
      <c r="W168" s="18">
        <v>0.06711794747816627</v>
      </c>
      <c r="X168" s="18">
        <v>0.06559185276963524</v>
      </c>
      <c r="Y168" s="196">
        <v>0.06328004593393974</v>
      </c>
      <c r="AA168" s="18">
        <v>-0.009716292829596407</v>
      </c>
      <c r="AB168" s="18">
        <v>0.019073220456161888</v>
      </c>
      <c r="AC168" s="18">
        <v>0.013801384089133562</v>
      </c>
      <c r="AD168" s="18">
        <v>0.02663035714268558</v>
      </c>
      <c r="AE168" s="18">
        <v>-0.0539081816422573</v>
      </c>
      <c r="AF168" s="18">
        <v>0.010259070176050544</v>
      </c>
      <c r="AG168" s="18">
        <v>-8.177225777428188E-4</v>
      </c>
      <c r="AH168" s="18">
        <v>0.04619082755927084</v>
      </c>
      <c r="AI168" s="18">
        <v>-3.11559495578706E-4</v>
      </c>
      <c r="AJ168" s="18">
        <v>-0.012714264688088228</v>
      </c>
      <c r="AK168" s="18">
        <v>0.006360255215109634</v>
      </c>
    </row>
    <row r="169">
      <c r="A169" s="230">
        <f>IFERROR(__xludf.DUMMYFUNCTION("""COMPUTED_VALUE"""),45929.66666666667)</f>
        <v>45929.66667</v>
      </c>
      <c r="B169" s="18">
        <f>IFERROR(__xludf.DUMMYFUNCTION("""COMPUTED_VALUE"""),663.68)</f>
        <v>663.68</v>
      </c>
      <c r="C169" s="18">
        <f>IFERROR(__xludf.DUMMYFUNCTION("IFERROR(VLOOKUP($A169, GOOGLEFINANCE(C$1, ""price"", $A$2, TODAY()), 2, FALSE), """")"),140.17)</f>
        <v>140.17</v>
      </c>
      <c r="D169" s="18">
        <f>IFERROR(__xludf.DUMMYFUNCTION("IFERROR(VLOOKUP($A169, GOOGLEFINANCE(D$1, ""price"", $A$2, TODAY()), 2, FALSE), """")"),120.38)</f>
        <v>120.38</v>
      </c>
      <c r="E169" s="18">
        <f>IFERROR(__xludf.DUMMYFUNCTION("IFERROR(VLOOKUP($A169, GOOGLEFINANCE(E$1, ""price"", $A$2, TODAY()), 2, FALSE), """")"),54.13)</f>
        <v>54.13</v>
      </c>
      <c r="F169" s="18">
        <f>IFERROR(__xludf.DUMMYFUNCTION("IFERROR(VLOOKUP($A169, GOOGLEFINANCE(F$1, ""price"", $A$2, TODAY()), 2, FALSE), """")"),118.55)</f>
        <v>118.55</v>
      </c>
      <c r="G169" s="18">
        <f>IFERROR(__xludf.DUMMYFUNCTION("IFERROR(VLOOKUP($A169, GOOGLEFINANCE(G$1, ""price"", $A$2, TODAY()), 2, FALSE), """")"),135.9)</f>
        <v>135.9</v>
      </c>
      <c r="H169" s="18">
        <f>IFERROR(__xludf.DUMMYFUNCTION("IFERROR(VLOOKUP($A169, GOOGLEFINANCE(H$1, ""price"", $A$2, TODAY()), 2, FALSE), """")"),78.11)</f>
        <v>78.11</v>
      </c>
      <c r="I169" s="18">
        <f>IFERROR(__xludf.DUMMYFUNCTION("IFERROR(VLOOKUP($A169, GOOGLEFINANCE(I$1, ""price"", $A$2, TODAY()), 2, FALSE), """")"),153.05)</f>
        <v>153.05</v>
      </c>
      <c r="J169" s="18">
        <f>IFERROR(__xludf.DUMMYFUNCTION("IFERROR(VLOOKUP($A169, GOOGLEFINANCE(J$1, ""price"", $A$2, TODAY()), 2, FALSE), """")"),45.15)</f>
        <v>45.15</v>
      </c>
      <c r="K169" s="18">
        <f>IFERROR(__xludf.DUMMYFUNCTION("IFERROR(VLOOKUP($A169, GOOGLEFINANCE(K$1, ""price"", $A$2, TODAY()), 2, FALSE), """")"),44.59)</f>
        <v>44.59</v>
      </c>
      <c r="L169" s="18">
        <f>IFERROR(__xludf.DUMMYFUNCTION("IFERROR(VLOOKUP($A169, GOOGLEFINANCE(L$1, ""price"", $A$2, TODAY()), 2, FALSE), """")"),43.53)</f>
        <v>43.53</v>
      </c>
      <c r="M169" s="196">
        <f>IFERROR(__xludf.DUMMYFUNCTION("IFERROR(VLOOKUP($A169, GOOGLEFINANCE(M$1, ""price"", $A$2, TODAY()), 2, FALSE), """")"),41.96)</f>
        <v>41.96</v>
      </c>
      <c r="O169" s="18">
        <v>0.211201181292189</v>
      </c>
      <c r="P169" s="18">
        <v>0.18138259402121504</v>
      </c>
      <c r="Q169" s="18">
        <v>0.08156039054966249</v>
      </c>
      <c r="R169" s="18">
        <v>0.17862524108003858</v>
      </c>
      <c r="S169" s="18">
        <v>0.20476735776277727</v>
      </c>
      <c r="T169" s="18">
        <v>0.11769226133076183</v>
      </c>
      <c r="U169" s="18">
        <v>0.23060812439729994</v>
      </c>
      <c r="V169" s="18">
        <v>0.06802977338476375</v>
      </c>
      <c r="W169" s="18">
        <v>0.06718599324975894</v>
      </c>
      <c r="X169" s="18">
        <v>0.06558883799421408</v>
      </c>
      <c r="Y169" s="196">
        <v>0.06322324011571842</v>
      </c>
      <c r="AA169" s="18">
        <v>-0.013596485621369614</v>
      </c>
      <c r="AB169" s="18">
        <v>0.015576189833999443</v>
      </c>
      <c r="AC169" s="18">
        <v>0.02005165543871179</v>
      </c>
      <c r="AD169" s="18">
        <v>0.029666965597499706</v>
      </c>
      <c r="AE169" s="18">
        <v>-0.045768768060929554</v>
      </c>
      <c r="AF169" s="18">
        <v>0.020440222467763558</v>
      </c>
      <c r="AG169" s="18">
        <v>-0.0016197871045534606</v>
      </c>
      <c r="AH169" s="18">
        <v>0.022593466941387197</v>
      </c>
      <c r="AI169" s="18">
        <v>0.005185674459135647</v>
      </c>
      <c r="AJ169" s="18">
        <v>-0.01870974637348799</v>
      </c>
      <c r="AK169" s="18">
        <v>0.019235724774787633</v>
      </c>
    </row>
    <row r="170">
      <c r="A170" s="230">
        <f>IFERROR(__xludf.DUMMYFUNCTION("""COMPUTED_VALUE"""),45930.66666666667)</f>
        <v>45930.66667</v>
      </c>
      <c r="B170" s="18">
        <f>IFERROR(__xludf.DUMMYFUNCTION("""COMPUTED_VALUE"""),666.18)</f>
        <v>666.18</v>
      </c>
      <c r="C170" s="18">
        <f>IFERROR(__xludf.DUMMYFUNCTION("IFERROR(VLOOKUP($A170, GOOGLEFINANCE(C$1, ""price"", $A$2, TODAY()), 2, FALSE), """")"),140.93)</f>
        <v>140.93</v>
      </c>
      <c r="D170" s="18">
        <f>IFERROR(__xludf.DUMMYFUNCTION("IFERROR(VLOOKUP($A170, GOOGLEFINANCE(D$1, ""price"", $A$2, TODAY()), 2, FALSE), """")"),119.82)</f>
        <v>119.82</v>
      </c>
      <c r="E170" s="18">
        <f>IFERROR(__xludf.DUMMYFUNCTION("IFERROR(VLOOKUP($A170, GOOGLEFINANCE(E$1, ""price"", $A$2, TODAY()), 2, FALSE), """")"),53.87)</f>
        <v>53.87</v>
      </c>
      <c r="F170" s="18">
        <f>IFERROR(__xludf.DUMMYFUNCTION("IFERROR(VLOOKUP($A170, GOOGLEFINANCE(F$1, ""price"", $A$2, TODAY()), 2, FALSE), """")"),118.37)</f>
        <v>118.37</v>
      </c>
      <c r="G170" s="18">
        <f>IFERROR(__xludf.DUMMYFUNCTION("IFERROR(VLOOKUP($A170, GOOGLEFINANCE(G$1, ""price"", $A$2, TODAY()), 2, FALSE), """")"),139.17)</f>
        <v>139.17</v>
      </c>
      <c r="H170" s="18">
        <f>IFERROR(__xludf.DUMMYFUNCTION("IFERROR(VLOOKUP($A170, GOOGLEFINANCE(H$1, ""price"", $A$2, TODAY()), 2, FALSE), """")"),78.37)</f>
        <v>78.37</v>
      </c>
      <c r="I170" s="18">
        <f>IFERROR(__xludf.DUMMYFUNCTION("IFERROR(VLOOKUP($A170, GOOGLEFINANCE(I$1, ""price"", $A$2, TODAY()), 2, FALSE), """")"),154.23)</f>
        <v>154.23</v>
      </c>
      <c r="J170" s="18">
        <f>IFERROR(__xludf.DUMMYFUNCTION("IFERROR(VLOOKUP($A170, GOOGLEFINANCE(J$1, ""price"", $A$2, TODAY()), 2, FALSE), """")"),44.67)</f>
        <v>44.67</v>
      </c>
      <c r="K170" s="18">
        <f>IFERROR(__xludf.DUMMYFUNCTION("IFERROR(VLOOKUP($A170, GOOGLEFINANCE(K$1, ""price"", $A$2, TODAY()), 2, FALSE), """")"),44.81)</f>
        <v>44.81</v>
      </c>
      <c r="L170" s="18">
        <f>IFERROR(__xludf.DUMMYFUNCTION("IFERROR(VLOOKUP($A170, GOOGLEFINANCE(L$1, ""price"", $A$2, TODAY()), 2, FALSE), """")"),43.61)</f>
        <v>43.61</v>
      </c>
      <c r="M170" s="196">
        <f>IFERROR(__xludf.DUMMYFUNCTION("IFERROR(VLOOKUP($A170, GOOGLEFINANCE(M$1, ""price"", $A$2, TODAY()), 2, FALSE), """")"),42.13)</f>
        <v>42.13</v>
      </c>
      <c r="O170" s="18">
        <v>0.21154943108469185</v>
      </c>
      <c r="P170" s="18">
        <v>0.1798612987480861</v>
      </c>
      <c r="Q170" s="18">
        <v>0.08086403074244199</v>
      </c>
      <c r="R170" s="18">
        <v>0.17768470983818188</v>
      </c>
      <c r="S170" s="18">
        <v>0.20890750247680806</v>
      </c>
      <c r="T170" s="18">
        <v>0.11764087784082382</v>
      </c>
      <c r="U170" s="18">
        <v>0.23151400522381338</v>
      </c>
      <c r="V170" s="18">
        <v>0.06705394938304964</v>
      </c>
      <c r="W170" s="18">
        <v>0.06726410279504039</v>
      </c>
      <c r="X170" s="18">
        <v>0.06546278783511963</v>
      </c>
      <c r="Y170" s="196">
        <v>0.06324116605121739</v>
      </c>
      <c r="AA170" s="18">
        <v>-0.009017394795652445</v>
      </c>
      <c r="AB170" s="18">
        <v>0.021203158407461897</v>
      </c>
      <c r="AC170" s="18">
        <v>0.006281202350432835</v>
      </c>
      <c r="AD170" s="18">
        <v>0.024404558391558195</v>
      </c>
      <c r="AE170" s="18">
        <v>-0.030824460533302234</v>
      </c>
      <c r="AF170" s="18">
        <v>0.006854236132668445</v>
      </c>
      <c r="AG170" s="18">
        <v>0.004282989791624114</v>
      </c>
      <c r="AH170" s="18">
        <v>0.00261762259633902</v>
      </c>
      <c r="AI170" s="18">
        <v>0.006659728521973163</v>
      </c>
      <c r="AJ170" s="18">
        <v>-0.0285548769963353</v>
      </c>
      <c r="AK170" s="18">
        <v>0.018924368605600428</v>
      </c>
    </row>
    <row r="171">
      <c r="A171" s="230">
        <f>IFERROR(__xludf.DUMMYFUNCTION("""COMPUTED_VALUE"""),45931.66666666667)</f>
        <v>45931.66667</v>
      </c>
      <c r="B171" s="18">
        <f>IFERROR(__xludf.DUMMYFUNCTION("""COMPUTED_VALUE"""),668.45)</f>
        <v>668.45</v>
      </c>
      <c r="C171" s="18">
        <f>IFERROR(__xludf.DUMMYFUNCTION("IFERROR(VLOOKUP($A171, GOOGLEFINANCE(C$1, ""price"", $A$2, TODAY()), 2, FALSE), """")"),142.31)</f>
        <v>142.31</v>
      </c>
      <c r="D171" s="18">
        <f>IFERROR(__xludf.DUMMYFUNCTION("IFERROR(VLOOKUP($A171, GOOGLEFINANCE(D$1, ""price"", $A$2, TODAY()), 2, FALSE), """")"),120.57)</f>
        <v>120.57</v>
      </c>
      <c r="E171" s="18">
        <f>IFERROR(__xludf.DUMMYFUNCTION("IFERROR(VLOOKUP($A171, GOOGLEFINANCE(E$1, ""price"", $A$2, TODAY()), 2, FALSE), """")"),53.39)</f>
        <v>53.39</v>
      </c>
      <c r="F171" s="18">
        <f>IFERROR(__xludf.DUMMYFUNCTION("IFERROR(VLOOKUP($A171, GOOGLEFINANCE(F$1, ""price"", $A$2, TODAY()), 2, FALSE), """")"),116.71)</f>
        <v>116.71</v>
      </c>
      <c r="G171" s="18">
        <f>IFERROR(__xludf.DUMMYFUNCTION("IFERROR(VLOOKUP($A171, GOOGLEFINANCE(G$1, ""price"", $A$2, TODAY()), 2, FALSE), """")"),143.47)</f>
        <v>143.47</v>
      </c>
      <c r="H171" s="18">
        <f>IFERROR(__xludf.DUMMYFUNCTION("IFERROR(VLOOKUP($A171, GOOGLEFINANCE(H$1, ""price"", $A$2, TODAY()), 2, FALSE), """")"),78.25)</f>
        <v>78.25</v>
      </c>
      <c r="I171" s="18">
        <f>IFERROR(__xludf.DUMMYFUNCTION("IFERROR(VLOOKUP($A171, GOOGLEFINANCE(I$1, ""price"", $A$2, TODAY()), 2, FALSE), """")"),153.8)</f>
        <v>153.8</v>
      </c>
      <c r="J171" s="18">
        <f>IFERROR(__xludf.DUMMYFUNCTION("IFERROR(VLOOKUP($A171, GOOGLEFINANCE(J$1, ""price"", $A$2, TODAY()), 2, FALSE), """")"),44.67)</f>
        <v>44.67</v>
      </c>
      <c r="K171" s="18">
        <f>IFERROR(__xludf.DUMMYFUNCTION("IFERROR(VLOOKUP($A171, GOOGLEFINANCE(K$1, ""price"", $A$2, TODAY()), 2, FALSE), """")"),44.34)</f>
        <v>44.34</v>
      </c>
      <c r="L171" s="18">
        <f>IFERROR(__xludf.DUMMYFUNCTION("IFERROR(VLOOKUP($A171, GOOGLEFINANCE(L$1, ""price"", $A$2, TODAY()), 2, FALSE), """")"),44.03)</f>
        <v>44.03</v>
      </c>
      <c r="M171" s="196">
        <f>IFERROR(__xludf.DUMMYFUNCTION("IFERROR(VLOOKUP($A171, GOOGLEFINANCE(M$1, ""price"", $A$2, TODAY()), 2, FALSE), """")"),42.13)</f>
        <v>42.13</v>
      </c>
      <c r="O171" s="18">
        <v>0.21289550452539455</v>
      </c>
      <c r="P171" s="18">
        <v>0.18037250355299572</v>
      </c>
      <c r="Q171" s="18">
        <v>0.07987134415438701</v>
      </c>
      <c r="R171" s="18">
        <v>0.1745979504824594</v>
      </c>
      <c r="S171" s="18">
        <v>0.21463086244296506</v>
      </c>
      <c r="T171" s="18">
        <v>0.11706185952576856</v>
      </c>
      <c r="U171" s="18">
        <v>0.2300845238985713</v>
      </c>
      <c r="V171" s="18">
        <v>0.06682623980851223</v>
      </c>
      <c r="W171" s="18">
        <v>0.06633256040092753</v>
      </c>
      <c r="X171" s="18">
        <v>0.06586880095743884</v>
      </c>
      <c r="Y171" s="196">
        <v>0.06302640436831476</v>
      </c>
      <c r="AA171" s="18">
        <v>-0.014089487092615482</v>
      </c>
      <c r="AB171" s="18">
        <v>0.027161893964102957</v>
      </c>
      <c r="AC171" s="18">
        <v>0.0047131463980460975</v>
      </c>
      <c r="AD171" s="18">
        <v>0.016816286980863904</v>
      </c>
      <c r="AE171" s="18">
        <v>-2.755531175405723E-4</v>
      </c>
      <c r="AF171" s="18">
        <v>0.012925932194241652</v>
      </c>
      <c r="AG171" s="18">
        <v>-0.004613446356659612</v>
      </c>
      <c r="AH171" s="18">
        <v>0.011045409698980935</v>
      </c>
      <c r="AI171" s="18">
        <v>-0.0066938880652208654</v>
      </c>
      <c r="AJ171" s="18">
        <v>-0.02341522880040392</v>
      </c>
      <c r="AK171" s="18">
        <v>0.02671110949555544</v>
      </c>
    </row>
    <row r="172">
      <c r="A172" s="230">
        <f>IFERROR(__xludf.DUMMYFUNCTION("""COMPUTED_VALUE"""),45932.66666666667)</f>
        <v>45932.66667</v>
      </c>
      <c r="B172" s="18">
        <f>IFERROR(__xludf.DUMMYFUNCTION("""COMPUTED_VALUE"""),669.22)</f>
        <v>669.22</v>
      </c>
      <c r="C172" s="18">
        <f>IFERROR(__xludf.DUMMYFUNCTION("IFERROR(VLOOKUP($A172, GOOGLEFINANCE(C$1, ""price"", $A$2, TODAY()), 2, FALSE), """")"),143.08)</f>
        <v>143.08</v>
      </c>
      <c r="D172" s="18">
        <f>IFERROR(__xludf.DUMMYFUNCTION("IFERROR(VLOOKUP($A172, GOOGLEFINANCE(D$1, ""price"", $A$2, TODAY()), 2, FALSE), """")"),119.7)</f>
        <v>119.7</v>
      </c>
      <c r="E172" s="18">
        <f>IFERROR(__xludf.DUMMYFUNCTION("IFERROR(VLOOKUP($A172, GOOGLEFINANCE(E$1, ""price"", $A$2, TODAY()), 2, FALSE), """")"),53.35)</f>
        <v>53.35</v>
      </c>
      <c r="F172" s="18">
        <f>IFERROR(__xludf.DUMMYFUNCTION("IFERROR(VLOOKUP($A172, GOOGLEFINANCE(F$1, ""price"", $A$2, TODAY()), 2, FALSE), """")"),116.45)</f>
        <v>116.45</v>
      </c>
      <c r="G172" s="18">
        <f>IFERROR(__xludf.DUMMYFUNCTION("IFERROR(VLOOKUP($A172, GOOGLEFINANCE(G$1, ""price"", $A$2, TODAY()), 2, FALSE), """")"),143.19)</f>
        <v>143.19</v>
      </c>
      <c r="H172" s="18">
        <f>IFERROR(__xludf.DUMMYFUNCTION("IFERROR(VLOOKUP($A172, GOOGLEFINANCE(H$1, ""price"", $A$2, TODAY()), 2, FALSE), """")"),77.94)</f>
        <v>77.94</v>
      </c>
      <c r="I172" s="18">
        <f>IFERROR(__xludf.DUMMYFUNCTION("IFERROR(VLOOKUP($A172, GOOGLEFINANCE(I$1, ""price"", $A$2, TODAY()), 2, FALSE), """")"),154.2)</f>
        <v>154.2</v>
      </c>
      <c r="J172" s="18">
        <f>IFERROR(__xludf.DUMMYFUNCTION("IFERROR(VLOOKUP($A172, GOOGLEFINANCE(J$1, ""price"", $A$2, TODAY()), 2, FALSE), """")"),44.22)</f>
        <v>44.22</v>
      </c>
      <c r="K172" s="18">
        <f>IFERROR(__xludf.DUMMYFUNCTION("IFERROR(VLOOKUP($A172, GOOGLEFINANCE(K$1, ""price"", $A$2, TODAY()), 2, FALSE), """")"),44.86)</f>
        <v>44.86</v>
      </c>
      <c r="L172" s="18">
        <f>IFERROR(__xludf.DUMMYFUNCTION("IFERROR(VLOOKUP($A172, GOOGLEFINANCE(L$1, ""price"", $A$2, TODAY()), 2, FALSE), """")"),43.95)</f>
        <v>43.95</v>
      </c>
      <c r="M172" s="196">
        <f>IFERROR(__xludf.DUMMYFUNCTION("IFERROR(VLOOKUP($A172, GOOGLEFINANCE(M$1, ""price"", $A$2, TODAY()), 2, FALSE), """")"),41.91)</f>
        <v>41.91</v>
      </c>
      <c r="O172" s="18">
        <v>0.21380114162756644</v>
      </c>
      <c r="P172" s="18">
        <v>0.17886494725202473</v>
      </c>
      <c r="Q172" s="18">
        <v>0.0797196736499208</v>
      </c>
      <c r="R172" s="18">
        <v>0.17400854726397896</v>
      </c>
      <c r="S172" s="18">
        <v>0.21396551208870027</v>
      </c>
      <c r="T172" s="18">
        <v>0.1164639430979349</v>
      </c>
      <c r="U172" s="18">
        <v>0.23041750097127997</v>
      </c>
      <c r="V172" s="18">
        <v>0.06607692537581064</v>
      </c>
      <c r="W172" s="18">
        <v>0.06703326260422582</v>
      </c>
      <c r="X172" s="18">
        <v>0.065673470607573</v>
      </c>
      <c r="Y172" s="196">
        <v>0.06262514569199963</v>
      </c>
      <c r="AA172" s="18">
        <v>-0.011062893075413638</v>
      </c>
      <c r="AB172" s="18">
        <v>0.0207210100983668</v>
      </c>
      <c r="AC172" s="18">
        <v>0.003463168921246096</v>
      </c>
      <c r="AD172" s="18">
        <v>0.016251101476610907</v>
      </c>
      <c r="AE172" s="18">
        <v>-0.004056501189735329</v>
      </c>
      <c r="AF172" s="18">
        <v>0.0016137884368270239</v>
      </c>
      <c r="AG172" s="18">
        <v>0.008852566715925825</v>
      </c>
      <c r="AH172" s="18">
        <v>0.010669763792822806</v>
      </c>
      <c r="AI172" s="18">
        <v>0.014660453979526311</v>
      </c>
      <c r="AJ172" s="18">
        <v>-0.026773978075100513</v>
      </c>
      <c r="AK172" s="18">
        <v>0.021918132327801265</v>
      </c>
    </row>
    <row r="173">
      <c r="A173" s="230">
        <f>IFERROR(__xludf.DUMMYFUNCTION("""COMPUTED_VALUE"""),45933.66666666667)</f>
        <v>45933.66667</v>
      </c>
      <c r="B173" s="18">
        <f>IFERROR(__xludf.DUMMYFUNCTION("""COMPUTED_VALUE"""),669.21)</f>
        <v>669.21</v>
      </c>
      <c r="C173" s="18">
        <f>IFERROR(__xludf.DUMMYFUNCTION("IFERROR(VLOOKUP($A173, GOOGLEFINANCE(C$1, ""price"", $A$2, TODAY()), 2, FALSE), """")"),142.36)</f>
        <v>142.36</v>
      </c>
      <c r="D173" s="18">
        <f>IFERROR(__xludf.DUMMYFUNCTION("IFERROR(VLOOKUP($A173, GOOGLEFINANCE(D$1, ""price"", $A$2, TODAY()), 2, FALSE), """")"),118.93)</f>
        <v>118.93</v>
      </c>
      <c r="E173" s="18">
        <f>IFERROR(__xludf.DUMMYFUNCTION("IFERROR(VLOOKUP($A173, GOOGLEFINANCE(E$1, ""price"", $A$2, TODAY()), 2, FALSE), """")"),53.72)</f>
        <v>53.72</v>
      </c>
      <c r="F173" s="18">
        <f>IFERROR(__xludf.DUMMYFUNCTION("IFERROR(VLOOKUP($A173, GOOGLEFINANCE(F$1, ""price"", $A$2, TODAY()), 2, FALSE), """")"),116.39)</f>
        <v>116.39</v>
      </c>
      <c r="G173" s="18">
        <f>IFERROR(__xludf.DUMMYFUNCTION("IFERROR(VLOOKUP($A173, GOOGLEFINANCE(G$1, ""price"", $A$2, TODAY()), 2, FALSE), """")"),144.82)</f>
        <v>144.82</v>
      </c>
      <c r="H173" s="18">
        <f>IFERROR(__xludf.DUMMYFUNCTION("IFERROR(VLOOKUP($A173, GOOGLEFINANCE(H$1, ""price"", $A$2, TODAY()), 2, FALSE), """")"),78.03)</f>
        <v>78.03</v>
      </c>
      <c r="I173" s="18">
        <f>IFERROR(__xludf.DUMMYFUNCTION("IFERROR(VLOOKUP($A173, GOOGLEFINANCE(I$1, ""price"", $A$2, TODAY()), 2, FALSE), """")"),154.41)</f>
        <v>154.41</v>
      </c>
      <c r="J173" s="18">
        <f>IFERROR(__xludf.DUMMYFUNCTION("IFERROR(VLOOKUP($A173, GOOGLEFINANCE(J$1, ""price"", $A$2, TODAY()), 2, FALSE), """")"),44.46)</f>
        <v>44.46</v>
      </c>
      <c r="K173" s="18">
        <f>IFERROR(__xludf.DUMMYFUNCTION("IFERROR(VLOOKUP($A173, GOOGLEFINANCE(K$1, ""price"", $A$2, TODAY()), 2, FALSE), """")"),44.93)</f>
        <v>44.93</v>
      </c>
      <c r="L173" s="18">
        <f>IFERROR(__xludf.DUMMYFUNCTION("IFERROR(VLOOKUP($A173, GOOGLEFINANCE(L$1, ""price"", $A$2, TODAY()), 2, FALSE), """")"),44.46)</f>
        <v>44.46</v>
      </c>
      <c r="M173" s="196">
        <f>IFERROR(__xludf.DUMMYFUNCTION("IFERROR(VLOOKUP($A173, GOOGLEFINANCE(M$1, ""price"", $A$2, TODAY()), 2, FALSE), """")"),42.08)</f>
        <v>42.08</v>
      </c>
      <c r="O173" s="18">
        <v>0.2127284409975942</v>
      </c>
      <c r="P173" s="18">
        <v>0.17771700960834416</v>
      </c>
      <c r="Q173" s="18">
        <v>0.08027375562230092</v>
      </c>
      <c r="R173" s="18">
        <v>0.17392148951749076</v>
      </c>
      <c r="S173" s="18">
        <v>0.21640441714857817</v>
      </c>
      <c r="T173" s="18">
        <v>0.11660017035011432</v>
      </c>
      <c r="U173" s="18">
        <v>0.23073474694042226</v>
      </c>
      <c r="V173" s="18">
        <v>0.06643654458241807</v>
      </c>
      <c r="W173" s="18">
        <v>0.06713886522915079</v>
      </c>
      <c r="X173" s="18">
        <v>0.06643654458241807</v>
      </c>
      <c r="Y173" s="196">
        <v>0.06288011237130348</v>
      </c>
      <c r="AA173" s="18">
        <v>-0.0020407576131539207</v>
      </c>
      <c r="AB173" s="18">
        <v>0.014624598832321256</v>
      </c>
      <c r="AC173" s="18">
        <v>0.0049917158066516976</v>
      </c>
      <c r="AD173" s="18">
        <v>0.006863573446026727</v>
      </c>
      <c r="AE173" s="18">
        <v>-0.005584318581630443</v>
      </c>
      <c r="AF173" s="18">
        <v>-0.025067308040567893</v>
      </c>
      <c r="AG173" s="18">
        <v>0.00516614040716834</v>
      </c>
      <c r="AH173" s="18">
        <v>0.018173957831744803</v>
      </c>
      <c r="AI173" s="18">
        <v>0.009510056917799714</v>
      </c>
      <c r="AJ173" s="18">
        <v>-0.0380400810818039</v>
      </c>
      <c r="AK173" s="18">
        <v>0.009389650459896703</v>
      </c>
    </row>
    <row r="174">
      <c r="A174" s="230">
        <f>IFERROR(__xludf.DUMMYFUNCTION("""COMPUTED_VALUE"""),45936.66666666667)</f>
        <v>45936.66667</v>
      </c>
      <c r="B174" s="18">
        <f>IFERROR(__xludf.DUMMYFUNCTION("""COMPUTED_VALUE"""),671.61)</f>
        <v>671.61</v>
      </c>
      <c r="C174" s="18">
        <f>IFERROR(__xludf.DUMMYFUNCTION("IFERROR(VLOOKUP($A174, GOOGLEFINANCE(C$1, ""price"", $A$2, TODAY()), 2, FALSE), """")"),143.8)</f>
        <v>143.8</v>
      </c>
      <c r="D174" s="18">
        <f>IFERROR(__xludf.DUMMYFUNCTION("IFERROR(VLOOKUP($A174, GOOGLEFINANCE(D$1, ""price"", $A$2, TODAY()), 2, FALSE), """")"),119.95)</f>
        <v>119.95</v>
      </c>
      <c r="E174" s="18">
        <f>IFERROR(__xludf.DUMMYFUNCTION("IFERROR(VLOOKUP($A174, GOOGLEFINANCE(E$1, ""price"", $A$2, TODAY()), 2, FALSE), """")"),53.7)</f>
        <v>53.7</v>
      </c>
      <c r="F174" s="18">
        <f>IFERROR(__xludf.DUMMYFUNCTION("IFERROR(VLOOKUP($A174, GOOGLEFINANCE(F$1, ""price"", $A$2, TODAY()), 2, FALSE), """")"),116.51)</f>
        <v>116.51</v>
      </c>
      <c r="G174" s="18">
        <f>IFERROR(__xludf.DUMMYFUNCTION("IFERROR(VLOOKUP($A174, GOOGLEFINANCE(G$1, ""price"", $A$2, TODAY()), 2, FALSE), """")"),144.12)</f>
        <v>144.12</v>
      </c>
      <c r="H174" s="18">
        <f>IFERROR(__xludf.DUMMYFUNCTION("IFERROR(VLOOKUP($A174, GOOGLEFINANCE(H$1, ""price"", $A$2, TODAY()), 2, FALSE), """")"),77.46)</f>
        <v>77.46</v>
      </c>
      <c r="I174" s="18">
        <f>IFERROR(__xludf.DUMMYFUNCTION("IFERROR(VLOOKUP($A174, GOOGLEFINANCE(I$1, ""price"", $A$2, TODAY()), 2, FALSE), """")"),155.13)</f>
        <v>155.13</v>
      </c>
      <c r="J174" s="18">
        <f>IFERROR(__xludf.DUMMYFUNCTION("IFERROR(VLOOKUP($A174, GOOGLEFINANCE(J$1, ""price"", $A$2, TODAY()), 2, FALSE), """")"),44.68)</f>
        <v>44.68</v>
      </c>
      <c r="K174" s="18">
        <f>IFERROR(__xludf.DUMMYFUNCTION("IFERROR(VLOOKUP($A174, GOOGLEFINANCE(K$1, ""price"", $A$2, TODAY()), 2, FALSE), """")"),44.89)</f>
        <v>44.89</v>
      </c>
      <c r="L174" s="18">
        <f>IFERROR(__xludf.DUMMYFUNCTION("IFERROR(VLOOKUP($A174, GOOGLEFINANCE(L$1, ""price"", $A$2, TODAY()), 2, FALSE), """")"),44.89)</f>
        <v>44.89</v>
      </c>
      <c r="M174" s="196">
        <f>IFERROR(__xludf.DUMMYFUNCTION("IFERROR(VLOOKUP($A174, GOOGLEFINANCE(M$1, ""price"", $A$2, TODAY()), 2, FALSE), """")"),41.66)</f>
        <v>41.66</v>
      </c>
      <c r="O174" s="18">
        <v>0.21411235687378094</v>
      </c>
      <c r="P174" s="18">
        <v>0.1786006759875523</v>
      </c>
      <c r="Q174" s="18">
        <v>0.0799571179702506</v>
      </c>
      <c r="R174" s="18">
        <v>0.1734786557674841</v>
      </c>
      <c r="S174" s="18">
        <v>0.21458882387099656</v>
      </c>
      <c r="T174" s="18">
        <v>0.1153347925135123</v>
      </c>
      <c r="U174" s="18">
        <v>0.23098226649394737</v>
      </c>
      <c r="V174" s="18">
        <v>0.06652670448623457</v>
      </c>
      <c r="W174" s="18">
        <v>0.06683938595315733</v>
      </c>
      <c r="X174" s="18">
        <v>0.06683938595315733</v>
      </c>
      <c r="Y174" s="196">
        <v>0.06203004720001191</v>
      </c>
      <c r="AA174" s="18">
        <v>-0.0043827961175979535</v>
      </c>
      <c r="AB174" s="18">
        <v>0.012737468628980286</v>
      </c>
      <c r="AC174" s="18">
        <v>0.006736944530857603</v>
      </c>
      <c r="AD174" s="18">
        <v>0.010394307098319233</v>
      </c>
      <c r="AE174" s="18">
        <v>0.002331622257312871</v>
      </c>
      <c r="AF174" s="18">
        <v>-0.017579896863319844</v>
      </c>
      <c r="AG174" s="18">
        <v>0.011161243735288817</v>
      </c>
      <c r="AH174" s="18">
        <v>0.021298127866473004</v>
      </c>
      <c r="AI174" s="18">
        <v>0.00446932145016854</v>
      </c>
      <c r="AJ174" s="18">
        <v>-0.024924390266635066</v>
      </c>
      <c r="AK174" s="18">
        <v>0.005338609031921182</v>
      </c>
    </row>
    <row r="175">
      <c r="A175" s="230">
        <f>IFERROR(__xludf.DUMMYFUNCTION("""COMPUTED_VALUE"""),45937.66666666667)</f>
        <v>45937.66667</v>
      </c>
      <c r="B175" s="18">
        <f>IFERROR(__xludf.DUMMYFUNCTION("""COMPUTED_VALUE"""),669.12)</f>
        <v>669.12</v>
      </c>
      <c r="C175" s="18">
        <f>IFERROR(__xludf.DUMMYFUNCTION("IFERROR(VLOOKUP($A175, GOOGLEFINANCE(C$1, ""price"", $A$2, TODAY()), 2, FALSE), """")"),142.84)</f>
        <v>142.84</v>
      </c>
      <c r="D175" s="18">
        <f>IFERROR(__xludf.DUMMYFUNCTION("IFERROR(VLOOKUP($A175, GOOGLEFINANCE(D$1, ""price"", $A$2, TODAY()), 2, FALSE), """")"),117.85)</f>
        <v>117.85</v>
      </c>
      <c r="E175" s="18">
        <f>IFERROR(__xludf.DUMMYFUNCTION("IFERROR(VLOOKUP($A175, GOOGLEFINANCE(E$1, ""price"", $A$2, TODAY()), 2, FALSE), """")"),53.77)</f>
        <v>53.77</v>
      </c>
      <c r="F175" s="18">
        <f>IFERROR(__xludf.DUMMYFUNCTION("IFERROR(VLOOKUP($A175, GOOGLEFINANCE(F$1, ""price"", $A$2, TODAY()), 2, FALSE), """")"),116.06)</f>
        <v>116.06</v>
      </c>
      <c r="G175" s="18">
        <f>IFERROR(__xludf.DUMMYFUNCTION("IFERROR(VLOOKUP($A175, GOOGLEFINANCE(G$1, ""price"", $A$2, TODAY()), 2, FALSE), """")"),144.23)</f>
        <v>144.23</v>
      </c>
      <c r="H175" s="18">
        <f>IFERROR(__xludf.DUMMYFUNCTION("IFERROR(VLOOKUP($A175, GOOGLEFINANCE(H$1, ""price"", $A$2, TODAY()), 2, FALSE), """")"),78.18)</f>
        <v>78.18</v>
      </c>
      <c r="I175" s="18">
        <f>IFERROR(__xludf.DUMMYFUNCTION("IFERROR(VLOOKUP($A175, GOOGLEFINANCE(I$1, ""price"", $A$2, TODAY()), 2, FALSE), """")"),154.25)</f>
        <v>154.25</v>
      </c>
      <c r="J175" s="18">
        <f>IFERROR(__xludf.DUMMYFUNCTION("IFERROR(VLOOKUP($A175, GOOGLEFINANCE(J$1, ""price"", $A$2, TODAY()), 2, FALSE), """")"),44.75)</f>
        <v>44.75</v>
      </c>
      <c r="K175" s="18">
        <f>IFERROR(__xludf.DUMMYFUNCTION("IFERROR(VLOOKUP($A175, GOOGLEFINANCE(K$1, ""price"", $A$2, TODAY()), 2, FALSE), """")"),44.71)</f>
        <v>44.71</v>
      </c>
      <c r="L175" s="18">
        <f>IFERROR(__xludf.DUMMYFUNCTION("IFERROR(VLOOKUP($A175, GOOGLEFINANCE(L$1, ""price"", $A$2, TODAY()), 2, FALSE), """")"),45.09)</f>
        <v>45.09</v>
      </c>
      <c r="M175" s="196">
        <f>IFERROR(__xludf.DUMMYFUNCTION("IFERROR(VLOOKUP($A175, GOOGLEFINANCE(M$1, ""price"", $A$2, TODAY()), 2, FALSE), """")"),41.53)</f>
        <v>41.53</v>
      </c>
      <c r="O175" s="18">
        <v>0.21347441415590626</v>
      </c>
      <c r="P175" s="18">
        <v>0.1761268531802965</v>
      </c>
      <c r="Q175" s="18">
        <v>0.08035927785748447</v>
      </c>
      <c r="R175" s="18">
        <v>0.17345169775227165</v>
      </c>
      <c r="S175" s="18">
        <v>0.2155517694882831</v>
      </c>
      <c r="T175" s="18">
        <v>0.1168400286944046</v>
      </c>
      <c r="U175" s="18">
        <v>0.2305266618842659</v>
      </c>
      <c r="V175" s="18">
        <v>0.06687888570062171</v>
      </c>
      <c r="W175" s="18">
        <v>0.06681910569105691</v>
      </c>
      <c r="X175" s="18">
        <v>0.06738701578192254</v>
      </c>
      <c r="Y175" s="196">
        <v>0.06206659493065519</v>
      </c>
      <c r="AA175" s="18">
        <v>0.0043276590399674575</v>
      </c>
      <c r="AB175" s="18">
        <v>-0.004638283140572241</v>
      </c>
      <c r="AC175" s="18">
        <v>-4.446924199486002E-4</v>
      </c>
      <c r="AD175" s="18">
        <v>0.0023991430533805147</v>
      </c>
      <c r="AE175" s="18">
        <v>0.002844234285694247</v>
      </c>
      <c r="AF175" s="18">
        <v>-0.021684508758432752</v>
      </c>
      <c r="AG175" s="18">
        <v>-0.003774006136665342</v>
      </c>
      <c r="AH175" s="18">
        <v>0.025450439396219382</v>
      </c>
      <c r="AI175" s="18">
        <v>-0.006965521503846217</v>
      </c>
      <c r="AJ175" s="18">
        <v>-0.026702214585331396</v>
      </c>
      <c r="AK175" s="18">
        <v>-0.004785444045331988</v>
      </c>
    </row>
    <row r="176">
      <c r="A176" s="230">
        <f>IFERROR(__xludf.DUMMYFUNCTION("""COMPUTED_VALUE"""),45938.66666666667)</f>
        <v>45938.66667</v>
      </c>
      <c r="B176" s="18">
        <f>IFERROR(__xludf.DUMMYFUNCTION("""COMPUTED_VALUE"""),673.11)</f>
        <v>673.11</v>
      </c>
      <c r="C176" s="18">
        <f>IFERROR(__xludf.DUMMYFUNCTION("IFERROR(VLOOKUP($A176, GOOGLEFINANCE(C$1, ""price"", $A$2, TODAY()), 2, FALSE), """")"),145.35)</f>
        <v>145.35</v>
      </c>
      <c r="D176" s="18">
        <f>IFERROR(__xludf.DUMMYFUNCTION("IFERROR(VLOOKUP($A176, GOOGLEFINANCE(D$1, ""price"", $A$2, TODAY()), 2, FALSE), """")"),118.2)</f>
        <v>118.2</v>
      </c>
      <c r="E176" s="18">
        <f>IFERROR(__xludf.DUMMYFUNCTION("IFERROR(VLOOKUP($A176, GOOGLEFINANCE(E$1, ""price"", $A$2, TODAY()), 2, FALSE), """")"),53.51)</f>
        <v>53.51</v>
      </c>
      <c r="F176" s="18">
        <f>IFERROR(__xludf.DUMMYFUNCTION("IFERROR(VLOOKUP($A176, GOOGLEFINANCE(F$1, ""price"", $A$2, TODAY()), 2, FALSE), """")"),115.58)</f>
        <v>115.58</v>
      </c>
      <c r="G176" s="18">
        <f>IFERROR(__xludf.DUMMYFUNCTION("IFERROR(VLOOKUP($A176, GOOGLEFINANCE(G$1, ""price"", $A$2, TODAY()), 2, FALSE), """")"),144.51)</f>
        <v>144.51</v>
      </c>
      <c r="H176" s="18">
        <f>IFERROR(__xludf.DUMMYFUNCTION("IFERROR(VLOOKUP($A176, GOOGLEFINANCE(H$1, ""price"", $A$2, TODAY()), 2, FALSE), """")"),77.79)</f>
        <v>77.79</v>
      </c>
      <c r="I176" s="18">
        <f>IFERROR(__xludf.DUMMYFUNCTION("IFERROR(VLOOKUP($A176, GOOGLEFINANCE(I$1, ""price"", $A$2, TODAY()), 2, FALSE), """")"),155.59)</f>
        <v>155.59</v>
      </c>
      <c r="J176" s="18">
        <f>IFERROR(__xludf.DUMMYFUNCTION("IFERROR(VLOOKUP($A176, GOOGLEFINANCE(J$1, ""price"", $A$2, TODAY()), 2, FALSE), """")"),44.49)</f>
        <v>44.49</v>
      </c>
      <c r="K176" s="18">
        <f>IFERROR(__xludf.DUMMYFUNCTION("IFERROR(VLOOKUP($A176, GOOGLEFINANCE(K$1, ""price"", $A$2, TODAY()), 2, FALSE), """")"),44.95)</f>
        <v>44.95</v>
      </c>
      <c r="L176" s="18">
        <f>IFERROR(__xludf.DUMMYFUNCTION("IFERROR(VLOOKUP($A176, GOOGLEFINANCE(L$1, ""price"", $A$2, TODAY()), 2, FALSE), """")"),45.4)</f>
        <v>45.4</v>
      </c>
      <c r="M176" s="196">
        <f>IFERROR(__xludf.DUMMYFUNCTION("IFERROR(VLOOKUP($A176, GOOGLEFINANCE(M$1, ""price"", $A$2, TODAY()), 2, FALSE), """")"),41.32)</f>
        <v>41.32</v>
      </c>
      <c r="O176" s="18">
        <v>0.21593795962027007</v>
      </c>
      <c r="P176" s="18">
        <v>0.17560279894816597</v>
      </c>
      <c r="Q176" s="18">
        <v>0.079496664735333</v>
      </c>
      <c r="R176" s="18">
        <v>0.171710418802276</v>
      </c>
      <c r="S176" s="18">
        <v>0.214690020947542</v>
      </c>
      <c r="T176" s="18">
        <v>0.11556803494228285</v>
      </c>
      <c r="U176" s="18">
        <v>0.23115092629733625</v>
      </c>
      <c r="V176" s="18">
        <v>0.06609618041627668</v>
      </c>
      <c r="W176" s="18">
        <v>0.06677957540372302</v>
      </c>
      <c r="X176" s="18">
        <v>0.06744811397839877</v>
      </c>
      <c r="Y176" s="196">
        <v>0.06138669756800523</v>
      </c>
      <c r="AA176" s="18">
        <v>0.010449895185473235</v>
      </c>
      <c r="AB176" s="18">
        <v>-0.004638144215155071</v>
      </c>
      <c r="AC176" s="18">
        <v>-0.006784438730250808</v>
      </c>
      <c r="AD176" s="18">
        <v>-0.010254599005979914</v>
      </c>
      <c r="AE176" s="18">
        <v>0.00172110854150187</v>
      </c>
      <c r="AF176" s="18">
        <v>-0.029756534108818955</v>
      </c>
      <c r="AG176" s="18">
        <v>0.007566590073388779</v>
      </c>
      <c r="AH176" s="18">
        <v>0.018656078023511657</v>
      </c>
      <c r="AI176" s="18">
        <v>0.0013473888930215505</v>
      </c>
      <c r="AJ176" s="18">
        <v>-0.03413429547876201</v>
      </c>
      <c r="AK176" s="18">
        <v>-0.025475188035560037</v>
      </c>
    </row>
    <row r="177">
      <c r="A177" s="230">
        <f>IFERROR(__xludf.DUMMYFUNCTION("""COMPUTED_VALUE"""),45939.66666666667)</f>
        <v>45939.66667</v>
      </c>
      <c r="B177" s="18">
        <f>IFERROR(__xludf.DUMMYFUNCTION("""COMPUTED_VALUE"""),671.16)</f>
        <v>671.16</v>
      </c>
      <c r="C177" s="18">
        <f>IFERROR(__xludf.DUMMYFUNCTION("IFERROR(VLOOKUP($A177, GOOGLEFINANCE(C$1, ""price"", $A$2, TODAY()), 2, FALSE), """")"),145.1)</f>
        <v>145.1</v>
      </c>
      <c r="D177" s="18">
        <f>IFERROR(__xludf.DUMMYFUNCTION("IFERROR(VLOOKUP($A177, GOOGLEFINANCE(D$1, ""price"", $A$2, TODAY()), 2, FALSE), """")"),117.61)</f>
        <v>117.61</v>
      </c>
      <c r="E177" s="18">
        <f>IFERROR(__xludf.DUMMYFUNCTION("IFERROR(VLOOKUP($A177, GOOGLEFINANCE(E$1, ""price"", $A$2, TODAY()), 2, FALSE), """")"),53.32)</f>
        <v>53.32</v>
      </c>
      <c r="F177" s="18">
        <f>IFERROR(__xludf.DUMMYFUNCTION("IFERROR(VLOOKUP($A177, GOOGLEFINANCE(F$1, ""price"", $A$2, TODAY()), 2, FALSE), """")"),114.92)</f>
        <v>114.92</v>
      </c>
      <c r="G177" s="18">
        <f>IFERROR(__xludf.DUMMYFUNCTION("IFERROR(VLOOKUP($A177, GOOGLEFINANCE(G$1, ""price"", $A$2, TODAY()), 2, FALSE), """")"),144.19)</f>
        <v>144.19</v>
      </c>
      <c r="H177" s="18">
        <f>IFERROR(__xludf.DUMMYFUNCTION("IFERROR(VLOOKUP($A177, GOOGLEFINANCE(H$1, ""price"", $A$2, TODAY()), 2, FALSE), """")"),78.04)</f>
        <v>78.04</v>
      </c>
      <c r="I177" s="18">
        <f>IFERROR(__xludf.DUMMYFUNCTION("IFERROR(VLOOKUP($A177, GOOGLEFINANCE(I$1, ""price"", $A$2, TODAY()), 2, FALSE), """")"),153.29)</f>
        <v>153.29</v>
      </c>
      <c r="J177" s="18">
        <f>IFERROR(__xludf.DUMMYFUNCTION("IFERROR(VLOOKUP($A177, GOOGLEFINANCE(J$1, ""price"", $A$2, TODAY()), 2, FALSE), """")"),43.88)</f>
        <v>43.88</v>
      </c>
      <c r="K177" s="18">
        <f>IFERROR(__xludf.DUMMYFUNCTION("IFERROR(VLOOKUP($A177, GOOGLEFINANCE(K$1, ""price"", $A$2, TODAY()), 2, FALSE), """")"),44.34)</f>
        <v>44.34</v>
      </c>
      <c r="L177" s="18">
        <f>IFERROR(__xludf.DUMMYFUNCTION("IFERROR(VLOOKUP($A177, GOOGLEFINANCE(L$1, ""price"", $A$2, TODAY()), 2, FALSE), """")"),45.29)</f>
        <v>45.29</v>
      </c>
      <c r="M177" s="196">
        <f>IFERROR(__xludf.DUMMYFUNCTION("IFERROR(VLOOKUP($A177, GOOGLEFINANCE(M$1, ""price"", $A$2, TODAY()), 2, FALSE), """")"),41.13)</f>
        <v>41.13</v>
      </c>
      <c r="O177" s="18">
        <v>0.21619286012277253</v>
      </c>
      <c r="P177" s="18">
        <v>0.17523392335657667</v>
      </c>
      <c r="Q177" s="18">
        <v>0.0794445437749568</v>
      </c>
      <c r="R177" s="18">
        <v>0.171225937183384</v>
      </c>
      <c r="S177" s="18">
        <v>0.21483699862923894</v>
      </c>
      <c r="T177" s="18">
        <v>0.11627629775314383</v>
      </c>
      <c r="U177" s="18">
        <v>0.22839561356457477</v>
      </c>
      <c r="V177" s="18">
        <v>0.06537934322665237</v>
      </c>
      <c r="W177" s="18">
        <v>0.06606472376184518</v>
      </c>
      <c r="X177" s="18">
        <v>0.06748018356278682</v>
      </c>
      <c r="Y177" s="196">
        <v>0.061281959592347585</v>
      </c>
      <c r="AA177" s="18">
        <v>0.003976178205457925</v>
      </c>
      <c r="AB177" s="18">
        <v>-0.0038160302358762888</v>
      </c>
      <c r="AC177" s="18">
        <v>0.013992337702617208</v>
      </c>
      <c r="AD177" s="18">
        <v>-0.009208170790656167</v>
      </c>
      <c r="AE177" s="18">
        <v>-0.002740902371975773</v>
      </c>
      <c r="AF177" s="18">
        <v>-0.023681070823119876</v>
      </c>
      <c r="AG177" s="18">
        <v>-0.004701331495378103</v>
      </c>
      <c r="AH177" s="18">
        <v>0.012950499748021205</v>
      </c>
      <c r="AI177" s="18">
        <v>-0.008744058459564163</v>
      </c>
      <c r="AJ177" s="18">
        <v>-0.029812655736246363</v>
      </c>
      <c r="AK177" s="18">
        <v>-0.03075619379725858</v>
      </c>
    </row>
    <row r="178">
      <c r="A178" s="230">
        <f>IFERROR(__xludf.DUMMYFUNCTION("""COMPUTED_VALUE"""),45940.66666666667)</f>
        <v>45940.66667</v>
      </c>
      <c r="B178" s="18">
        <f>IFERROR(__xludf.DUMMYFUNCTION("""COMPUTED_VALUE"""),653.02)</f>
        <v>653.02</v>
      </c>
      <c r="C178" s="18">
        <f>IFERROR(__xludf.DUMMYFUNCTION("IFERROR(VLOOKUP($A178, GOOGLEFINANCE(C$1, ""price"", $A$2, TODAY()), 2, FALSE), """")"),139.2)</f>
        <v>139.2</v>
      </c>
      <c r="D178" s="18">
        <f>IFERROR(__xludf.DUMMYFUNCTION("IFERROR(VLOOKUP($A178, GOOGLEFINANCE(D$1, ""price"", $A$2, TODAY()), 2, FALSE), """")"),114.38)</f>
        <v>114.38</v>
      </c>
      <c r="E178" s="18">
        <f>IFERROR(__xludf.DUMMYFUNCTION("IFERROR(VLOOKUP($A178, GOOGLEFINANCE(E$1, ""price"", $A$2, TODAY()), 2, FALSE), """")"),52.16)</f>
        <v>52.16</v>
      </c>
      <c r="F178" s="18">
        <f>IFERROR(__xludf.DUMMYFUNCTION("IFERROR(VLOOKUP($A178, GOOGLEFINANCE(F$1, ""price"", $A$2, TODAY()), 2, FALSE), """")"),112.8)</f>
        <v>112.8</v>
      </c>
      <c r="G178" s="18">
        <f>IFERROR(__xludf.DUMMYFUNCTION("IFERROR(VLOOKUP($A178, GOOGLEFINANCE(G$1, ""price"", $A$2, TODAY()), 2, FALSE), """")"),142.11)</f>
        <v>142.11</v>
      </c>
      <c r="H178" s="18">
        <f>IFERROR(__xludf.DUMMYFUNCTION("IFERROR(VLOOKUP($A178, GOOGLEFINANCE(H$1, ""price"", $A$2, TODAY()), 2, FALSE), """")"),78.1)</f>
        <v>78.1</v>
      </c>
      <c r="I178" s="18">
        <f>IFERROR(__xludf.DUMMYFUNCTION("IFERROR(VLOOKUP($A178, GOOGLEFINANCE(I$1, ""price"", $A$2, TODAY()), 2, FALSE), """")"),149.9)</f>
        <v>149.9</v>
      </c>
      <c r="J178" s="18">
        <f>IFERROR(__xludf.DUMMYFUNCTION("IFERROR(VLOOKUP($A178, GOOGLEFINANCE(J$1, ""price"", $A$2, TODAY()), 2, FALSE), """")"),42.61)</f>
        <v>42.61</v>
      </c>
      <c r="K178" s="18">
        <f>IFERROR(__xludf.DUMMYFUNCTION("IFERROR(VLOOKUP($A178, GOOGLEFINANCE(K$1, ""price"", $A$2, TODAY()), 2, FALSE), """")"),43.43)</f>
        <v>43.43</v>
      </c>
      <c r="L178" s="18">
        <f>IFERROR(__xludf.DUMMYFUNCTION("IFERROR(VLOOKUP($A178, GOOGLEFINANCE(L$1, ""price"", $A$2, TODAY()), 2, FALSE), """")"),45.1)</f>
        <v>45.1</v>
      </c>
      <c r="M178" s="196">
        <f>IFERROR(__xludf.DUMMYFUNCTION("IFERROR(VLOOKUP($A178, GOOGLEFINANCE(M$1, ""price"", $A$2, TODAY()), 2, FALSE), """")"),40.68)</f>
        <v>40.68</v>
      </c>
      <c r="O178" s="18">
        <v>0.2131634559431564</v>
      </c>
      <c r="P178" s="18">
        <v>0.17515543168662523</v>
      </c>
      <c r="Q178" s="18">
        <v>0.07987504211203332</v>
      </c>
      <c r="R178" s="18">
        <v>0.1727359039539371</v>
      </c>
      <c r="S178" s="18">
        <v>0.2176196747419681</v>
      </c>
      <c r="T178" s="18">
        <v>0.11959817463477382</v>
      </c>
      <c r="U178" s="18">
        <v>0.22954886527212032</v>
      </c>
      <c r="V178" s="18">
        <v>0.06525068144926649</v>
      </c>
      <c r="W178" s="18">
        <v>0.0665063857155983</v>
      </c>
      <c r="X178" s="18">
        <v>0.06906373464824968</v>
      </c>
      <c r="Y178" s="196">
        <v>0.06229518238338795</v>
      </c>
      <c r="AA178" s="18">
        <v>-0.006219433765534577</v>
      </c>
      <c r="AB178" s="18">
        <v>-0.007153679222959286</v>
      </c>
      <c r="AC178" s="18">
        <v>0.017021449383170184</v>
      </c>
      <c r="AD178" s="18">
        <v>-0.0015311708025381732</v>
      </c>
      <c r="AE178" s="18">
        <v>0.009173837522273853</v>
      </c>
      <c r="AF178" s="18">
        <v>-0.0033885457720134182</v>
      </c>
      <c r="AG178" s="18">
        <v>0.005140516695076869</v>
      </c>
      <c r="AH178" s="18">
        <v>0.008418242569857126</v>
      </c>
      <c r="AI178" s="18">
        <v>0.005602585470786403</v>
      </c>
      <c r="AJ178" s="18">
        <v>0.002080250337423095</v>
      </c>
      <c r="AK178" s="18">
        <v>-0.015501992775948659</v>
      </c>
    </row>
    <row r="179">
      <c r="A179" s="230">
        <f>IFERROR(__xludf.DUMMYFUNCTION("""COMPUTED_VALUE"""),45943.66666666667)</f>
        <v>45943.66667</v>
      </c>
      <c r="B179" s="18">
        <f>IFERROR(__xludf.DUMMYFUNCTION("""COMPUTED_VALUE"""),663.04)</f>
        <v>663.04</v>
      </c>
      <c r="C179" s="18">
        <f>IFERROR(__xludf.DUMMYFUNCTION("IFERROR(VLOOKUP($A179, GOOGLEFINANCE(C$1, ""price"", $A$2, TODAY()), 2, FALSE), """")"),142.59)</f>
        <v>142.59</v>
      </c>
      <c r="D179" s="18">
        <f>IFERROR(__xludf.DUMMYFUNCTION("IFERROR(VLOOKUP($A179, GOOGLEFINANCE(D$1, ""price"", $A$2, TODAY()), 2, FALSE), """")"),116.93)</f>
        <v>116.93</v>
      </c>
      <c r="E179" s="18">
        <f>IFERROR(__xludf.DUMMYFUNCTION("IFERROR(VLOOKUP($A179, GOOGLEFINANCE(E$1, ""price"", $A$2, TODAY()), 2, FALSE), """")"),52.66)</f>
        <v>52.66</v>
      </c>
      <c r="F179" s="18">
        <f>IFERROR(__xludf.DUMMYFUNCTION("IFERROR(VLOOKUP($A179, GOOGLEFINANCE(F$1, ""price"", $A$2, TODAY()), 2, FALSE), """")"),113.84)</f>
        <v>113.84</v>
      </c>
      <c r="G179" s="18">
        <f>IFERROR(__xludf.DUMMYFUNCTION("IFERROR(VLOOKUP($A179, GOOGLEFINANCE(G$1, ""price"", $A$2, TODAY()), 2, FALSE), """")"),141.95)</f>
        <v>141.95</v>
      </c>
      <c r="H179" s="18">
        <f>IFERROR(__xludf.DUMMYFUNCTION("IFERROR(VLOOKUP($A179, GOOGLEFINANCE(H$1, ""price"", $A$2, TODAY()), 2, FALSE), """")"),77.84)</f>
        <v>77.84</v>
      </c>
      <c r="I179" s="18">
        <f>IFERROR(__xludf.DUMMYFUNCTION("IFERROR(VLOOKUP($A179, GOOGLEFINANCE(I$1, ""price"", $A$2, TODAY()), 2, FALSE), """")"),151.46)</f>
        <v>151.46</v>
      </c>
      <c r="J179" s="18">
        <f>IFERROR(__xludf.DUMMYFUNCTION("IFERROR(VLOOKUP($A179, GOOGLEFINANCE(J$1, ""price"", $A$2, TODAY()), 2, FALSE), """")"),43.19)</f>
        <v>43.19</v>
      </c>
      <c r="K179" s="18">
        <f>IFERROR(__xludf.DUMMYFUNCTION("IFERROR(VLOOKUP($A179, GOOGLEFINANCE(K$1, ""price"", $A$2, TODAY()), 2, FALSE), """")"),44.12)</f>
        <v>44.12</v>
      </c>
      <c r="L179" s="18">
        <f>IFERROR(__xludf.DUMMYFUNCTION("IFERROR(VLOOKUP($A179, GOOGLEFINANCE(L$1, ""price"", $A$2, TODAY()), 2, FALSE), """")"),45.45)</f>
        <v>45.45</v>
      </c>
      <c r="M179" s="196">
        <f>IFERROR(__xludf.DUMMYFUNCTION("IFERROR(VLOOKUP($A179, GOOGLEFINANCE(M$1, ""price"", $A$2, TODAY()), 2, FALSE), """")"),40.91)</f>
        <v>40.91</v>
      </c>
      <c r="O179" s="18">
        <v>0.21505489864864866</v>
      </c>
      <c r="P179" s="18">
        <v>0.17635436776061778</v>
      </c>
      <c r="Q179" s="18">
        <v>0.07942205598455598</v>
      </c>
      <c r="R179" s="18">
        <v>0.17169401544401547</v>
      </c>
      <c r="S179" s="18">
        <v>0.21408964768339767</v>
      </c>
      <c r="T179" s="18">
        <v>0.11739864864864866</v>
      </c>
      <c r="U179" s="18">
        <v>0.22843267374517376</v>
      </c>
      <c r="V179" s="18">
        <v>0.06513935810810811</v>
      </c>
      <c r="W179" s="18">
        <v>0.06654198841698841</v>
      </c>
      <c r="X179" s="18">
        <v>0.06854790057915058</v>
      </c>
      <c r="Y179" s="196">
        <v>0.06170065154440154</v>
      </c>
      <c r="AA179" s="18">
        <v>0.0018483932188608776</v>
      </c>
      <c r="AB179" s="18">
        <v>0.002088091058936037</v>
      </c>
      <c r="AC179" s="18">
        <v>0.009964504308248356</v>
      </c>
      <c r="AD179" s="18">
        <v>-0.00844638190323821</v>
      </c>
      <c r="AE179" s="18">
        <v>-0.007401198357173455</v>
      </c>
      <c r="AF179" s="18">
        <v>-0.010673953830807936</v>
      </c>
      <c r="AG179" s="18">
        <v>-0.0011278407690521464</v>
      </c>
      <c r="AH179" s="18">
        <v>0.00639933482101207</v>
      </c>
      <c r="AI179" s="18">
        <v>0.004489247230139881</v>
      </c>
      <c r="AJ179" s="18">
        <v>0.005379192894555018</v>
      </c>
      <c r="AK179" s="18">
        <v>-0.024961219826818537</v>
      </c>
    </row>
    <row r="180">
      <c r="A180" s="230">
        <f>IFERROR(__xludf.DUMMYFUNCTION("""COMPUTED_VALUE"""),45944.66666666667)</f>
        <v>45944.66667</v>
      </c>
      <c r="B180" s="18">
        <f>IFERROR(__xludf.DUMMYFUNCTION("""COMPUTED_VALUE"""),662.23)</f>
        <v>662.23</v>
      </c>
      <c r="C180" s="18">
        <f>IFERROR(__xludf.DUMMYFUNCTION("IFERROR(VLOOKUP($A180, GOOGLEFINANCE(C$1, ""price"", $A$2, TODAY()), 2, FALSE), """")"),140.76)</f>
        <v>140.76</v>
      </c>
      <c r="D180" s="18">
        <f>IFERROR(__xludf.DUMMYFUNCTION("IFERROR(VLOOKUP($A180, GOOGLEFINANCE(D$1, ""price"", $A$2, TODAY()), 2, FALSE), """")"),117.18)</f>
        <v>117.18</v>
      </c>
      <c r="E180" s="18">
        <f>IFERROR(__xludf.DUMMYFUNCTION("IFERROR(VLOOKUP($A180, GOOGLEFINANCE(E$1, ""price"", $A$2, TODAY()), 2, FALSE), """")"),53.24)</f>
        <v>53.24</v>
      </c>
      <c r="F180" s="18">
        <f>IFERROR(__xludf.DUMMYFUNCTION("IFERROR(VLOOKUP($A180, GOOGLEFINANCE(F$1, ""price"", $A$2, TODAY()), 2, FALSE), """")"),114.59)</f>
        <v>114.59</v>
      </c>
      <c r="G180" s="18">
        <f>IFERROR(__xludf.DUMMYFUNCTION("IFERROR(VLOOKUP($A180, GOOGLEFINANCE(G$1, ""price"", $A$2, TODAY()), 2, FALSE), """")"),142.34)</f>
        <v>142.34</v>
      </c>
      <c r="H180" s="18">
        <f>IFERROR(__xludf.DUMMYFUNCTION("IFERROR(VLOOKUP($A180, GOOGLEFINANCE(H$1, ""price"", $A$2, TODAY()), 2, FALSE), """")"),79.09)</f>
        <v>79.09</v>
      </c>
      <c r="I180" s="18">
        <f>IFERROR(__xludf.DUMMYFUNCTION("IFERROR(VLOOKUP($A180, GOOGLEFINANCE(I$1, ""price"", $A$2, TODAY()), 2, FALSE), """")"),153.24)</f>
        <v>153.24</v>
      </c>
      <c r="J180" s="18">
        <f>IFERROR(__xludf.DUMMYFUNCTION("IFERROR(VLOOKUP($A180, GOOGLEFINANCE(J$1, ""price"", $A$2, TODAY()), 2, FALSE), """")"),43.19)</f>
        <v>43.19</v>
      </c>
      <c r="K180" s="18">
        <f>IFERROR(__xludf.DUMMYFUNCTION("IFERROR(VLOOKUP($A180, GOOGLEFINANCE(K$1, ""price"", $A$2, TODAY()), 2, FALSE), """")"),44.56)</f>
        <v>44.56</v>
      </c>
      <c r="L180" s="18">
        <f>IFERROR(__xludf.DUMMYFUNCTION("IFERROR(VLOOKUP($A180, GOOGLEFINANCE(L$1, ""price"", $A$2, TODAY()), 2, FALSE), """")"),45.85)</f>
        <v>45.85</v>
      </c>
      <c r="M180" s="196">
        <f>IFERROR(__xludf.DUMMYFUNCTION("IFERROR(VLOOKUP($A180, GOOGLEFINANCE(M$1, ""price"", $A$2, TODAY()), 2, FALSE), """")"),41.3)</f>
        <v>41.3</v>
      </c>
      <c r="O180" s="18">
        <v>0.21255455053380243</v>
      </c>
      <c r="P180" s="18">
        <v>0.1769475861860683</v>
      </c>
      <c r="Q180" s="18">
        <v>0.0803950289174456</v>
      </c>
      <c r="R180" s="18">
        <v>0.17303655829545625</v>
      </c>
      <c r="S180" s="18">
        <v>0.21494042855201365</v>
      </c>
      <c r="T180" s="18">
        <v>0.1194298053546351</v>
      </c>
      <c r="U180" s="18">
        <v>0.23139996677891367</v>
      </c>
      <c r="V180" s="18">
        <v>0.06521903266236806</v>
      </c>
      <c r="W180" s="18">
        <v>0.06728780031107018</v>
      </c>
      <c r="X180" s="18">
        <v>0.06923576400948311</v>
      </c>
      <c r="Y180" s="196">
        <v>0.062365039336786304</v>
      </c>
      <c r="AA180" s="18">
        <v>-0.010295177721882265</v>
      </c>
      <c r="AB180" s="18">
        <v>-0.006746842287433941</v>
      </c>
      <c r="AC180" s="18">
        <v>0.023485282799015073</v>
      </c>
      <c r="AD180" s="18">
        <v>-0.004220221018801484</v>
      </c>
      <c r="AE180" s="18">
        <v>-0.005806102923715084</v>
      </c>
      <c r="AF180" s="18">
        <v>0.011124152308147117</v>
      </c>
      <c r="AG180" s="18">
        <v>0.0029473379327022986</v>
      </c>
      <c r="AH180" s="18">
        <v>0.009939664035087725</v>
      </c>
      <c r="AI180" s="18">
        <v>0.019630416948494434</v>
      </c>
      <c r="AJ180" s="18">
        <v>0.025761995628468704</v>
      </c>
      <c r="AK180" s="18">
        <v>-0.011451540581079667</v>
      </c>
    </row>
    <row r="181">
      <c r="A181" s="230">
        <f>IFERROR(__xludf.DUMMYFUNCTION("""COMPUTED_VALUE"""),45945.66666666667)</f>
        <v>45945.66667</v>
      </c>
      <c r="B181" s="18">
        <f>IFERROR(__xludf.DUMMYFUNCTION("""COMPUTED_VALUE"""),665.17)</f>
        <v>665.17</v>
      </c>
      <c r="C181" s="18">
        <f>IFERROR(__xludf.DUMMYFUNCTION("IFERROR(VLOOKUP($A181, GOOGLEFINANCE(C$1, ""price"", $A$2, TODAY()), 2, FALSE), """")"),142.15)</f>
        <v>142.15</v>
      </c>
      <c r="D181" s="18">
        <f>IFERROR(__xludf.DUMMYFUNCTION("IFERROR(VLOOKUP($A181, GOOGLEFINANCE(D$1, ""price"", $A$2, TODAY()), 2, FALSE), """")"),117.35)</f>
        <v>117.35</v>
      </c>
      <c r="E181" s="18">
        <f>IFERROR(__xludf.DUMMYFUNCTION("IFERROR(VLOOKUP($A181, GOOGLEFINANCE(E$1, ""price"", $A$2, TODAY()), 2, FALSE), """")"),53.24)</f>
        <v>53.24</v>
      </c>
      <c r="F181" s="18">
        <f>IFERROR(__xludf.DUMMYFUNCTION("IFERROR(VLOOKUP($A181, GOOGLEFINANCE(F$1, ""price"", $A$2, TODAY()), 2, FALSE), """")"),115.4)</f>
        <v>115.4</v>
      </c>
      <c r="G181" s="18">
        <f>IFERROR(__xludf.DUMMYFUNCTION("IFERROR(VLOOKUP($A181, GOOGLEFINANCE(G$1, ""price"", $A$2, TODAY()), 2, FALSE), """")"),142.56)</f>
        <v>142.56</v>
      </c>
      <c r="H181" s="18">
        <f>IFERROR(__xludf.DUMMYFUNCTION("IFERROR(VLOOKUP($A181, GOOGLEFINANCE(H$1, ""price"", $A$2, TODAY()), 2, FALSE), """")"),79.23)</f>
        <v>79.23</v>
      </c>
      <c r="I181" s="18">
        <f>IFERROR(__xludf.DUMMYFUNCTION("IFERROR(VLOOKUP($A181, GOOGLEFINANCE(I$1, ""price"", $A$2, TODAY()), 2, FALSE), """")"),152.6)</f>
        <v>152.6</v>
      </c>
      <c r="J181" s="18">
        <f>IFERROR(__xludf.DUMMYFUNCTION("IFERROR(VLOOKUP($A181, GOOGLEFINANCE(J$1, ""price"", $A$2, TODAY()), 2, FALSE), """")"),43.16)</f>
        <v>43.16</v>
      </c>
      <c r="K181" s="18">
        <f>IFERROR(__xludf.DUMMYFUNCTION("IFERROR(VLOOKUP($A181, GOOGLEFINANCE(K$1, ""price"", $A$2, TODAY()), 2, FALSE), """")"),44.36)</f>
        <v>44.36</v>
      </c>
      <c r="L181" s="18">
        <f>IFERROR(__xludf.DUMMYFUNCTION("IFERROR(VLOOKUP($A181, GOOGLEFINANCE(L$1, ""price"", $A$2, TODAY()), 2, FALSE), """")"),46.45)</f>
        <v>46.45</v>
      </c>
      <c r="M181" s="196">
        <f>IFERROR(__xludf.DUMMYFUNCTION("IFERROR(VLOOKUP($A181, GOOGLEFINANCE(M$1, ""price"", $A$2, TODAY()), 2, FALSE), """")"),41.9)</f>
        <v>41.9</v>
      </c>
      <c r="O181" s="18">
        <v>0.21370476720236933</v>
      </c>
      <c r="P181" s="18">
        <v>0.1764210652915796</v>
      </c>
      <c r="Q181" s="18">
        <v>0.08003968910203407</v>
      </c>
      <c r="R181" s="18">
        <v>0.17348948389133606</v>
      </c>
      <c r="S181" s="18">
        <v>0.214321150983959</v>
      </c>
      <c r="T181" s="18">
        <v>0.1191124073545109</v>
      </c>
      <c r="U181" s="18">
        <v>0.22941503675752065</v>
      </c>
      <c r="V181" s="18">
        <v>0.0648856683253905</v>
      </c>
      <c r="W181" s="18">
        <v>0.06668971841784807</v>
      </c>
      <c r="X181" s="18">
        <v>0.06983177232887834</v>
      </c>
      <c r="Y181" s="196">
        <v>0.06299141572831006</v>
      </c>
      <c r="AA181" s="18">
        <v>-2.658946567969389E-4</v>
      </c>
      <c r="AB181" s="18">
        <v>-0.00704603959783523</v>
      </c>
      <c r="AC181" s="18">
        <v>0.019464130885720854</v>
      </c>
      <c r="AD181" s="18">
        <v>0.0018702641182479773</v>
      </c>
      <c r="AE181" s="18">
        <v>-0.019432278520911117</v>
      </c>
      <c r="AF181" s="18">
        <v>-0.002467198001725901</v>
      </c>
      <c r="AG181" s="18">
        <v>0.002180686509271057</v>
      </c>
      <c r="AH181" s="18">
        <v>-0.012969264061599706</v>
      </c>
      <c r="AI181" s="18">
        <v>0.008500769009034181</v>
      </c>
      <c r="AJ181" s="18">
        <v>0.031718087637720105</v>
      </c>
      <c r="AK181" s="18">
        <v>-0.011150272135273753</v>
      </c>
    </row>
    <row r="182">
      <c r="A182" s="230">
        <f>IFERROR(__xludf.DUMMYFUNCTION("""COMPUTED_VALUE"""),45946.66666666667)</f>
        <v>45946.66667</v>
      </c>
      <c r="B182" s="18">
        <f>IFERROR(__xludf.DUMMYFUNCTION("""COMPUTED_VALUE"""),660.64)</f>
        <v>660.64</v>
      </c>
      <c r="C182" s="18">
        <f>IFERROR(__xludf.DUMMYFUNCTION("IFERROR(VLOOKUP($A182, GOOGLEFINANCE(C$1, ""price"", $A$2, TODAY()), 2, FALSE), """")"),142.26)</f>
        <v>142.26</v>
      </c>
      <c r="D182" s="18">
        <f>IFERROR(__xludf.DUMMYFUNCTION("IFERROR(VLOOKUP($A182, GOOGLEFINANCE(D$1, ""price"", $A$2, TODAY()), 2, FALSE), """")"),116.21)</f>
        <v>116.21</v>
      </c>
      <c r="E182" s="18">
        <f>IFERROR(__xludf.DUMMYFUNCTION("IFERROR(VLOOKUP($A182, GOOGLEFINANCE(E$1, ""price"", $A$2, TODAY()), 2, FALSE), """")"),51.76)</f>
        <v>51.76</v>
      </c>
      <c r="F182" s="18">
        <f>IFERROR(__xludf.DUMMYFUNCTION("IFERROR(VLOOKUP($A182, GOOGLEFINANCE(F$1, ""price"", $A$2, TODAY()), 2, FALSE), """")"),114.17)</f>
        <v>114.17</v>
      </c>
      <c r="G182" s="18">
        <f>IFERROR(__xludf.DUMMYFUNCTION("IFERROR(VLOOKUP($A182, GOOGLEFINANCE(G$1, ""price"", $A$2, TODAY()), 2, FALSE), """")"),142.32)</f>
        <v>142.32</v>
      </c>
      <c r="H182" s="18">
        <f>IFERROR(__xludf.DUMMYFUNCTION("IFERROR(VLOOKUP($A182, GOOGLEFINANCE(H$1, ""price"", $A$2, TODAY()), 2, FALSE), """")"),78.68)</f>
        <v>78.68</v>
      </c>
      <c r="I182" s="18">
        <f>IFERROR(__xludf.DUMMYFUNCTION("IFERROR(VLOOKUP($A182, GOOGLEFINANCE(I$1, ""price"", $A$2, TODAY()), 2, FALSE), """")"),151.6)</f>
        <v>151.6</v>
      </c>
      <c r="J182" s="18">
        <f>IFERROR(__xludf.DUMMYFUNCTION("IFERROR(VLOOKUP($A182, GOOGLEFINANCE(J$1, ""price"", $A$2, TODAY()), 2, FALSE), """")"),42.64)</f>
        <v>42.64</v>
      </c>
      <c r="K182" s="18">
        <f>IFERROR(__xludf.DUMMYFUNCTION("IFERROR(VLOOKUP($A182, GOOGLEFINANCE(K$1, ""price"", $A$2, TODAY()), 2, FALSE), """")"),44.03)</f>
        <v>44.03</v>
      </c>
      <c r="L182" s="18">
        <f>IFERROR(__xludf.DUMMYFUNCTION("IFERROR(VLOOKUP($A182, GOOGLEFINANCE(L$1, ""price"", $A$2, TODAY()), 2, FALSE), """")"),45.95)</f>
        <v>45.95</v>
      </c>
      <c r="M182" s="196">
        <f>IFERROR(__xludf.DUMMYFUNCTION("IFERROR(VLOOKUP($A182, GOOGLEFINANCE(M$1, ""price"", $A$2, TODAY()), 2, FALSE), """")"),41.77)</f>
        <v>41.77</v>
      </c>
      <c r="O182" s="18">
        <v>0.2153366432550254</v>
      </c>
      <c r="P182" s="18">
        <v>0.17590518285299103</v>
      </c>
      <c r="Q182" s="18">
        <v>0.07834826834584645</v>
      </c>
      <c r="R182" s="18">
        <v>0.17281726810365708</v>
      </c>
      <c r="S182" s="18">
        <v>0.21542746427706466</v>
      </c>
      <c r="T182" s="18">
        <v>0.11909663356744976</v>
      </c>
      <c r="U182" s="18">
        <v>0.22947444901913297</v>
      </c>
      <c r="V182" s="18">
        <v>0.06454347299588278</v>
      </c>
      <c r="W182" s="18">
        <v>0.06664749333979172</v>
      </c>
      <c r="X182" s="18">
        <v>0.06955376604504723</v>
      </c>
      <c r="Y182" s="196">
        <v>0.06322656817631388</v>
      </c>
      <c r="AA182" s="18">
        <v>7.924690258467315E-4</v>
      </c>
      <c r="AB182" s="18">
        <v>-0.008590774114227262</v>
      </c>
      <c r="AC182" s="18">
        <v>0.0017364435478837148</v>
      </c>
      <c r="AD182" s="18">
        <v>0.007303496931129638</v>
      </c>
      <c r="AE182" s="18">
        <v>-0.009069067359894767</v>
      </c>
      <c r="AF182" s="18">
        <v>0.008246434344928222</v>
      </c>
      <c r="AG182" s="18">
        <v>-0.004058949004440038</v>
      </c>
      <c r="AH182" s="18">
        <v>-0.02545013666634721</v>
      </c>
      <c r="AI182" s="18">
        <v>0.0018151739972811498</v>
      </c>
      <c r="AJ182" s="18">
        <v>0.03439092048751213</v>
      </c>
      <c r="AK182" s="18">
        <v>-6.334249853975349E-4</v>
      </c>
    </row>
    <row r="183">
      <c r="A183" s="230">
        <f>IFERROR(__xludf.DUMMYFUNCTION("""COMPUTED_VALUE"""),45947.66666666667)</f>
        <v>45947.66667</v>
      </c>
      <c r="B183" s="18">
        <f>IFERROR(__xludf.DUMMYFUNCTION("""COMPUTED_VALUE"""),664.39)</f>
        <v>664.39</v>
      </c>
      <c r="C183" s="18">
        <f>IFERROR(__xludf.DUMMYFUNCTION("IFERROR(VLOOKUP($A183, GOOGLEFINANCE(C$1, ""price"", $A$2, TODAY()), 2, FALSE), """")"),142.51)</f>
        <v>142.51</v>
      </c>
      <c r="D183" s="18">
        <f>IFERROR(__xludf.DUMMYFUNCTION("IFERROR(VLOOKUP($A183, GOOGLEFINANCE(D$1, ""price"", $A$2, TODAY()), 2, FALSE), """")"),117.21)</f>
        <v>117.21</v>
      </c>
      <c r="E183" s="18">
        <f>IFERROR(__xludf.DUMMYFUNCTION("IFERROR(VLOOKUP($A183, GOOGLEFINANCE(E$1, ""price"", $A$2, TODAY()), 2, FALSE), """")"),52.18)</f>
        <v>52.18</v>
      </c>
      <c r="F183" s="18">
        <f>IFERROR(__xludf.DUMMYFUNCTION("IFERROR(VLOOKUP($A183, GOOGLEFINANCE(F$1, ""price"", $A$2, TODAY()), 2, FALSE), """")"),114.94)</f>
        <v>114.94</v>
      </c>
      <c r="G183" s="18">
        <f>IFERROR(__xludf.DUMMYFUNCTION("IFERROR(VLOOKUP($A183, GOOGLEFINANCE(G$1, ""price"", $A$2, TODAY()), 2, FALSE), """")"),143.27)</f>
        <v>143.27</v>
      </c>
      <c r="H183" s="18">
        <f>IFERROR(__xludf.DUMMYFUNCTION("IFERROR(VLOOKUP($A183, GOOGLEFINANCE(H$1, ""price"", $A$2, TODAY()), 2, FALSE), """")"),79.73)</f>
        <v>79.73</v>
      </c>
      <c r="I183" s="18">
        <f>IFERROR(__xludf.DUMMYFUNCTION("IFERROR(VLOOKUP($A183, GOOGLEFINANCE(I$1, ""price"", $A$2, TODAY()), 2, FALSE), """")"),151.73)</f>
        <v>151.73</v>
      </c>
      <c r="J183" s="18">
        <f>IFERROR(__xludf.DUMMYFUNCTION("IFERROR(VLOOKUP($A183, GOOGLEFINANCE(J$1, ""price"", $A$2, TODAY()), 2, FALSE), """")"),42.99)</f>
        <v>42.99</v>
      </c>
      <c r="K183" s="18">
        <f>IFERROR(__xludf.DUMMYFUNCTION("IFERROR(VLOOKUP($A183, GOOGLEFINANCE(K$1, ""price"", $A$2, TODAY()), 2, FALSE), """")"),43.94)</f>
        <v>43.94</v>
      </c>
      <c r="L183" s="18">
        <f>IFERROR(__xludf.DUMMYFUNCTION("IFERROR(VLOOKUP($A183, GOOGLEFINANCE(L$1, ""price"", $A$2, TODAY()), 2, FALSE), """")"),45.79)</f>
        <v>45.79</v>
      </c>
      <c r="M183" s="196">
        <f>IFERROR(__xludf.DUMMYFUNCTION("IFERROR(VLOOKUP($A183, GOOGLEFINANCE(M$1, ""price"", $A$2, TODAY()), 2, FALSE), """")"),42.04)</f>
        <v>42.04</v>
      </c>
      <c r="O183" s="18">
        <v>0.21449750899321182</v>
      </c>
      <c r="P183" s="18">
        <v>0.17641746564517827</v>
      </c>
      <c r="Q183" s="18">
        <v>0.07853820798025256</v>
      </c>
      <c r="R183" s="18">
        <v>0.17300079772422824</v>
      </c>
      <c r="S183" s="18">
        <v>0.21564141543370613</v>
      </c>
      <c r="T183" s="18">
        <v>0.12000481644817051</v>
      </c>
      <c r="U183" s="18">
        <v>0.22837490028447147</v>
      </c>
      <c r="V183" s="18">
        <v>0.06470597089059138</v>
      </c>
      <c r="W183" s="18">
        <v>0.06613585394120923</v>
      </c>
      <c r="X183" s="18">
        <v>0.06892036303978086</v>
      </c>
      <c r="Y183" s="196">
        <v>0.06327608783997352</v>
      </c>
      <c r="AA183" s="18">
        <v>-0.010365570095696386</v>
      </c>
      <c r="AB183" s="18">
        <v>0.005459299909088333</v>
      </c>
      <c r="AC183" s="18">
        <v>0.001506333169385199</v>
      </c>
      <c r="AD183" s="18">
        <v>0.013974818336075945</v>
      </c>
      <c r="AE183" s="18">
        <v>9.004041962246134E-5</v>
      </c>
      <c r="AF183" s="18">
        <v>0.02760477860062549</v>
      </c>
      <c r="AG183" s="18">
        <v>-0.0015692904418159737</v>
      </c>
      <c r="AH183" s="18">
        <v>-0.004947348191348566</v>
      </c>
      <c r="AI183" s="18">
        <v>0.006302113720151548</v>
      </c>
      <c r="AJ183" s="18">
        <v>0.02136358574817465</v>
      </c>
      <c r="AK183" s="18">
        <v>0.0047767992877389975</v>
      </c>
    </row>
    <row r="184">
      <c r="A184" s="230">
        <f>IFERROR(__xludf.DUMMYFUNCTION("""COMPUTED_VALUE"""),45950.66666666667)</f>
        <v>45950.66667</v>
      </c>
      <c r="B184" s="18">
        <f>IFERROR(__xludf.DUMMYFUNCTION("""COMPUTED_VALUE"""),671.3)</f>
        <v>671.3</v>
      </c>
      <c r="C184" s="18">
        <f>IFERROR(__xludf.DUMMYFUNCTION("IFERROR(VLOOKUP($A184, GOOGLEFINANCE(C$1, ""price"", $A$2, TODAY()), 2, FALSE), """")"),144.1)</f>
        <v>144.1</v>
      </c>
      <c r="D184" s="18">
        <f>IFERROR(__xludf.DUMMYFUNCTION("IFERROR(VLOOKUP($A184, GOOGLEFINANCE(D$1, ""price"", $A$2, TODAY()), 2, FALSE), """")"),118.14)</f>
        <v>118.14</v>
      </c>
      <c r="E184" s="18">
        <f>IFERROR(__xludf.DUMMYFUNCTION("IFERROR(VLOOKUP($A184, GOOGLEFINANCE(E$1, ""price"", $A$2, TODAY()), 2, FALSE), """")"),52.79)</f>
        <v>52.79</v>
      </c>
      <c r="F184" s="18">
        <f>IFERROR(__xludf.DUMMYFUNCTION("IFERROR(VLOOKUP($A184, GOOGLEFINANCE(F$1, ""price"", $A$2, TODAY()), 2, FALSE), """")"),116.24)</f>
        <v>116.24</v>
      </c>
      <c r="G184" s="18">
        <f>IFERROR(__xludf.DUMMYFUNCTION("IFERROR(VLOOKUP($A184, GOOGLEFINANCE(G$1, ""price"", $A$2, TODAY()), 2, FALSE), """")"),144.79)</f>
        <v>144.79</v>
      </c>
      <c r="H184" s="18">
        <f>IFERROR(__xludf.DUMMYFUNCTION("IFERROR(VLOOKUP($A184, GOOGLEFINANCE(H$1, ""price"", $A$2, TODAY()), 2, FALSE), """")"),79.66)</f>
        <v>79.66</v>
      </c>
      <c r="I184" s="18">
        <f>IFERROR(__xludf.DUMMYFUNCTION("IFERROR(VLOOKUP($A184, GOOGLEFINANCE(I$1, ""price"", $A$2, TODAY()), 2, FALSE), """")"),153.52)</f>
        <v>153.52</v>
      </c>
      <c r="J184" s="18">
        <f>IFERROR(__xludf.DUMMYFUNCTION("IFERROR(VLOOKUP($A184, GOOGLEFINANCE(J$1, ""price"", $A$2, TODAY()), 2, FALSE), """")"),43.45)</f>
        <v>43.45</v>
      </c>
      <c r="K184" s="18">
        <f>IFERROR(__xludf.DUMMYFUNCTION("IFERROR(VLOOKUP($A184, GOOGLEFINANCE(K$1, ""price"", $A$2, TODAY()), 2, FALSE), """")"),44.47)</f>
        <v>44.47</v>
      </c>
      <c r="L184" s="18">
        <f>IFERROR(__xludf.DUMMYFUNCTION("IFERROR(VLOOKUP($A184, GOOGLEFINANCE(L$1, ""price"", $A$2, TODAY()), 2, FALSE), """")"),45.77)</f>
        <v>45.77</v>
      </c>
      <c r="M184" s="196">
        <f>IFERROR(__xludf.DUMMYFUNCTION("IFERROR(VLOOKUP($A184, GOOGLEFINANCE(M$1, ""price"", $A$2, TODAY()), 2, FALSE), """")"),42.48)</f>
        <v>42.48</v>
      </c>
      <c r="O184" s="18">
        <v>0.21465812602413228</v>
      </c>
      <c r="P184" s="18">
        <v>0.1759868911068077</v>
      </c>
      <c r="Q184" s="18">
        <v>0.07863846268434381</v>
      </c>
      <c r="R184" s="18">
        <v>0.17315656189483092</v>
      </c>
      <c r="S184" s="18">
        <v>0.21568598242216594</v>
      </c>
      <c r="T184" s="18">
        <v>0.1186652763295099</v>
      </c>
      <c r="U184" s="18">
        <v>0.22869060032772237</v>
      </c>
      <c r="V184" s="18">
        <v>0.06472516013704753</v>
      </c>
      <c r="W184" s="18">
        <v>0.06624460002979295</v>
      </c>
      <c r="X184" s="18">
        <v>0.06818114106956652</v>
      </c>
      <c r="Y184" s="196">
        <v>0.0632802025919857</v>
      </c>
      <c r="AA184" s="18">
        <v>-0.016104787446311608</v>
      </c>
      <c r="AB184" s="18">
        <v>4.418223164834867E-4</v>
      </c>
      <c r="AC184" s="18">
        <v>0.010429780045373205</v>
      </c>
      <c r="AD184" s="18">
        <v>0.012750106459661348</v>
      </c>
      <c r="AE184" s="18">
        <v>0.009746960408314465</v>
      </c>
      <c r="AF184" s="18">
        <v>0.026435167281410932</v>
      </c>
      <c r="AG184" s="18">
        <v>0.005892207257002902</v>
      </c>
      <c r="AH184" s="18">
        <v>0.004808988045094109</v>
      </c>
      <c r="AI184" s="18">
        <v>0.020306804324911498</v>
      </c>
      <c r="AJ184" s="18">
        <v>0.019651791936048824</v>
      </c>
      <c r="AK184" s="18">
        <v>0.014556060461681897</v>
      </c>
    </row>
    <row r="185">
      <c r="A185" s="230">
        <f>IFERROR(__xludf.DUMMYFUNCTION("""COMPUTED_VALUE"""),45951.66666666667)</f>
        <v>45951.66667</v>
      </c>
      <c r="B185" s="18">
        <f>IFERROR(__xludf.DUMMYFUNCTION("""COMPUTED_VALUE"""),671.29)</f>
        <v>671.29</v>
      </c>
      <c r="C185" s="18">
        <f>IFERROR(__xludf.DUMMYFUNCTION("IFERROR(VLOOKUP($A185, GOOGLEFINANCE(C$1, ""price"", $A$2, TODAY()), 2, FALSE), """")"),144.17)</f>
        <v>144.17</v>
      </c>
      <c r="D185" s="18">
        <f>IFERROR(__xludf.DUMMYFUNCTION("IFERROR(VLOOKUP($A185, GOOGLEFINANCE(D$1, ""price"", $A$2, TODAY()), 2, FALSE), """")"),119.59)</f>
        <v>119.59</v>
      </c>
      <c r="E185" s="18">
        <f>IFERROR(__xludf.DUMMYFUNCTION("IFERROR(VLOOKUP($A185, GOOGLEFINANCE(E$1, ""price"", $A$2, TODAY()), 2, FALSE), """")"),52.73)</f>
        <v>52.73</v>
      </c>
      <c r="F185" s="18">
        <f>IFERROR(__xludf.DUMMYFUNCTION("IFERROR(VLOOKUP($A185, GOOGLEFINANCE(F$1, ""price"", $A$2, TODAY()), 2, FALSE), """")"),116.65)</f>
        <v>116.65</v>
      </c>
      <c r="G185" s="18">
        <f>IFERROR(__xludf.DUMMYFUNCTION("IFERROR(VLOOKUP($A185, GOOGLEFINANCE(G$1, ""price"", $A$2, TODAY()), 2, FALSE), """")"),145.13)</f>
        <v>145.13</v>
      </c>
      <c r="H185" s="18">
        <f>IFERROR(__xludf.DUMMYFUNCTION("IFERROR(VLOOKUP($A185, GOOGLEFINANCE(H$1, ""price"", $A$2, TODAY()), 2, FALSE), """")"),79.29)</f>
        <v>79.29</v>
      </c>
      <c r="I185" s="18">
        <f>IFERROR(__xludf.DUMMYFUNCTION("IFERROR(VLOOKUP($A185, GOOGLEFINANCE(I$1, ""price"", $A$2, TODAY()), 2, FALSE), """")"),154.88)</f>
        <v>154.88</v>
      </c>
      <c r="J185" s="18">
        <f>IFERROR(__xludf.DUMMYFUNCTION("IFERROR(VLOOKUP($A185, GOOGLEFINANCE(J$1, ""price"", $A$2, TODAY()), 2, FALSE), """")"),43.35)</f>
        <v>43.35</v>
      </c>
      <c r="K185" s="18">
        <f>IFERROR(__xludf.DUMMYFUNCTION("IFERROR(VLOOKUP($A185, GOOGLEFINANCE(K$1, ""price"", $A$2, TODAY()), 2, FALSE), """")"),44.3)</f>
        <v>44.3</v>
      </c>
      <c r="L185" s="18">
        <f>IFERROR(__xludf.DUMMYFUNCTION("IFERROR(VLOOKUP($A185, GOOGLEFINANCE(L$1, ""price"", $A$2, TODAY()), 2, FALSE), """")"),45.31)</f>
        <v>45.31</v>
      </c>
      <c r="M185" s="196">
        <f>IFERROR(__xludf.DUMMYFUNCTION("IFERROR(VLOOKUP($A185, GOOGLEFINANCE(M$1, ""price"", $A$2, TODAY()), 2, FALSE), """")"),42.35)</f>
        <v>42.35</v>
      </c>
      <c r="O185" s="18">
        <v>0.2147656005601156</v>
      </c>
      <c r="P185" s="18">
        <v>0.1781495329887232</v>
      </c>
      <c r="Q185" s="18">
        <v>0.07855025398858913</v>
      </c>
      <c r="R185" s="18">
        <v>0.17376990570394318</v>
      </c>
      <c r="S185" s="18">
        <v>0.2161956829388193</v>
      </c>
      <c r="T185" s="18">
        <v>0.1181158664660579</v>
      </c>
      <c r="U185" s="18">
        <v>0.23071995709752866</v>
      </c>
      <c r="V185" s="18">
        <v>0.0645771574133385</v>
      </c>
      <c r="W185" s="18">
        <v>0.06599234310059736</v>
      </c>
      <c r="X185" s="18">
        <v>0.0674969089365252</v>
      </c>
      <c r="Y185" s="196">
        <v>0.06308748826885549</v>
      </c>
      <c r="AA185" s="18">
        <v>-0.022672847259020967</v>
      </c>
      <c r="AB185" s="18">
        <v>0.015173079001676859</v>
      </c>
      <c r="AC185" s="18">
        <v>0.01847023033402606</v>
      </c>
      <c r="AD185" s="18">
        <v>0.024106634182117004</v>
      </c>
      <c r="AE185" s="18">
        <v>0.021240329459918827</v>
      </c>
      <c r="AF185" s="18">
        <v>0.034714869490880096</v>
      </c>
      <c r="AG185" s="18">
        <v>0.02481544946617542</v>
      </c>
      <c r="AH185" s="18">
        <v>0.015759655961729457</v>
      </c>
      <c r="AI185" s="18">
        <v>0.017748580262545888</v>
      </c>
      <c r="AJ185" s="18">
        <v>0.028942228842445017</v>
      </c>
      <c r="AK185" s="18">
        <v>0.03720721919119052</v>
      </c>
    </row>
    <row r="186">
      <c r="A186" s="230">
        <f>IFERROR(__xludf.DUMMYFUNCTION("""COMPUTED_VALUE"""),45952.66666666667)</f>
        <v>45952.66667</v>
      </c>
      <c r="B186" s="18">
        <f>IFERROR(__xludf.DUMMYFUNCTION("""COMPUTED_VALUE"""),667.8)</f>
        <v>667.8</v>
      </c>
      <c r="C186" s="18">
        <f>IFERROR(__xludf.DUMMYFUNCTION("IFERROR(VLOOKUP($A186, GOOGLEFINANCE(C$1, ""price"", $A$2, TODAY()), 2, FALSE), """")"),142.75)</f>
        <v>142.75</v>
      </c>
      <c r="D186" s="18">
        <f>IFERROR(__xludf.DUMMYFUNCTION("IFERROR(VLOOKUP($A186, GOOGLEFINANCE(D$1, ""price"", $A$2, TODAY()), 2, FALSE), """")"),118.65)</f>
        <v>118.65</v>
      </c>
      <c r="E186" s="18">
        <f>IFERROR(__xludf.DUMMYFUNCTION("IFERROR(VLOOKUP($A186, GOOGLEFINANCE(E$1, ""price"", $A$2, TODAY()), 2, FALSE), """")"),52.43)</f>
        <v>52.43</v>
      </c>
      <c r="F186" s="18">
        <f>IFERROR(__xludf.DUMMYFUNCTION("IFERROR(VLOOKUP($A186, GOOGLEFINANCE(F$1, ""price"", $A$2, TODAY()), 2, FALSE), """")"),115.64)</f>
        <v>115.64</v>
      </c>
      <c r="G186" s="18">
        <f>IFERROR(__xludf.DUMMYFUNCTION("IFERROR(VLOOKUP($A186, GOOGLEFINANCE(G$1, ""price"", $A$2, TODAY()), 2, FALSE), """")"),145.96)</f>
        <v>145.96</v>
      </c>
      <c r="H186" s="18">
        <f>IFERROR(__xludf.DUMMYFUNCTION("IFERROR(VLOOKUP($A186, GOOGLEFINANCE(H$1, ""price"", $A$2, TODAY()), 2, FALSE), """")"),79.74)</f>
        <v>79.74</v>
      </c>
      <c r="I186" s="18">
        <f>IFERROR(__xludf.DUMMYFUNCTION("IFERROR(VLOOKUP($A186, GOOGLEFINANCE(I$1, ""price"", $A$2, TODAY()), 2, FALSE), """")"),152.87)</f>
        <v>152.87</v>
      </c>
      <c r="J186" s="18">
        <f>IFERROR(__xludf.DUMMYFUNCTION("IFERROR(VLOOKUP($A186, GOOGLEFINANCE(J$1, ""price"", $A$2, TODAY()), 2, FALSE), """")"),43.9)</f>
        <v>43.9</v>
      </c>
      <c r="K186" s="18">
        <f>IFERROR(__xludf.DUMMYFUNCTION("IFERROR(VLOOKUP($A186, GOOGLEFINANCE(K$1, ""price"", $A$2, TODAY()), 2, FALSE), """")"),44.16)</f>
        <v>44.16</v>
      </c>
      <c r="L186" s="18">
        <f>IFERROR(__xludf.DUMMYFUNCTION("IFERROR(VLOOKUP($A186, GOOGLEFINANCE(L$1, ""price"", $A$2, TODAY()), 2, FALSE), """")"),45.2)</f>
        <v>45.2</v>
      </c>
      <c r="M186" s="196">
        <f>IFERROR(__xludf.DUMMYFUNCTION("IFERROR(VLOOKUP($A186, GOOGLEFINANCE(M$1, ""price"", $A$2, TODAY()), 2, FALSE), """")"),42.54)</f>
        <v>42.54</v>
      </c>
      <c r="O186" s="18">
        <v>0.21376160527103924</v>
      </c>
      <c r="P186" s="18">
        <v>0.17767295597484278</v>
      </c>
      <c r="Q186" s="18">
        <v>0.07851153039832286</v>
      </c>
      <c r="R186" s="18">
        <v>0.17316561844863734</v>
      </c>
      <c r="S186" s="18">
        <v>0.21856843366277331</v>
      </c>
      <c r="T186" s="18">
        <v>0.11940700808625337</v>
      </c>
      <c r="U186" s="18">
        <v>0.22891584306678647</v>
      </c>
      <c r="V186" s="18">
        <v>0.06573824498352801</v>
      </c>
      <c r="W186" s="18">
        <v>0.06612758310871518</v>
      </c>
      <c r="X186" s="18">
        <v>0.06768493560946393</v>
      </c>
      <c r="Y186" s="196">
        <v>0.06370170709793352</v>
      </c>
      <c r="AA186" s="18">
        <v>-0.03375031336055978</v>
      </c>
      <c r="AB186" s="18">
        <v>0.021329764237725035</v>
      </c>
      <c r="AC186" s="18">
        <v>0.0360537700230974</v>
      </c>
      <c r="AD186" s="18">
        <v>0.023581687723869704</v>
      </c>
      <c r="AE186" s="18">
        <v>0.04349045433708665</v>
      </c>
      <c r="AF186" s="18">
        <v>0.07180965380529769</v>
      </c>
      <c r="AG186" s="18">
        <v>0.014666374552994244</v>
      </c>
      <c r="AH186" s="18">
        <v>0.02676237716944585</v>
      </c>
      <c r="AI186" s="18">
        <v>0.040884803139448644</v>
      </c>
      <c r="AJ186" s="18">
        <v>0.03276243925836653</v>
      </c>
      <c r="AK186" s="18">
        <v>0.07719351640955763</v>
      </c>
    </row>
    <row r="187">
      <c r="A187" s="230">
        <f>IFERROR(__xludf.DUMMYFUNCTION("""COMPUTED_VALUE"""),45953.66666666667)</f>
        <v>45953.66667</v>
      </c>
      <c r="B187" s="18">
        <f>IFERROR(__xludf.DUMMYFUNCTION("""COMPUTED_VALUE"""),671.76)</f>
        <v>671.76</v>
      </c>
      <c r="C187" s="18">
        <f>IFERROR(__xludf.DUMMYFUNCTION("IFERROR(VLOOKUP($A187, GOOGLEFINANCE(C$1, ""price"", $A$2, TODAY()), 2, FALSE), """")"),144.54)</f>
        <v>144.54</v>
      </c>
      <c r="D187" s="18">
        <f>IFERROR(__xludf.DUMMYFUNCTION("IFERROR(VLOOKUP($A187, GOOGLEFINANCE(D$1, ""price"", $A$2, TODAY()), 2, FALSE), """")"),119.19)</f>
        <v>119.19</v>
      </c>
      <c r="E187" s="18">
        <f>IFERROR(__xludf.DUMMYFUNCTION("IFERROR(VLOOKUP($A187, GOOGLEFINANCE(E$1, ""price"", $A$2, TODAY()), 2, FALSE), """")"),52.54)</f>
        <v>52.54</v>
      </c>
      <c r="F187" s="18">
        <f>IFERROR(__xludf.DUMMYFUNCTION("IFERROR(VLOOKUP($A187, GOOGLEFINANCE(F$1, ""price"", $A$2, TODAY()), 2, FALSE), """")"),115.25)</f>
        <v>115.25</v>
      </c>
      <c r="G187" s="18">
        <f>IFERROR(__xludf.DUMMYFUNCTION("IFERROR(VLOOKUP($A187, GOOGLEFINANCE(G$1, ""price"", $A$2, TODAY()), 2, FALSE), """")"),146.04)</f>
        <v>146.04</v>
      </c>
      <c r="H187" s="18">
        <f>IFERROR(__xludf.DUMMYFUNCTION("IFERROR(VLOOKUP($A187, GOOGLEFINANCE(H$1, ""price"", $A$2, TODAY()), 2, FALSE), """")"),79.35)</f>
        <v>79.35</v>
      </c>
      <c r="I187" s="18">
        <f>IFERROR(__xludf.DUMMYFUNCTION("IFERROR(VLOOKUP($A187, GOOGLEFINANCE(I$1, ""price"", $A$2, TODAY()), 2, FALSE), """")"),154.78)</f>
        <v>154.78</v>
      </c>
      <c r="J187" s="18">
        <f>IFERROR(__xludf.DUMMYFUNCTION("IFERROR(VLOOKUP($A187, GOOGLEFINANCE(J$1, ""price"", $A$2, TODAY()), 2, FALSE), """")"),44.49)</f>
        <v>44.49</v>
      </c>
      <c r="K187" s="18">
        <f>IFERROR(__xludf.DUMMYFUNCTION("IFERROR(VLOOKUP($A187, GOOGLEFINANCE(K$1, ""price"", $A$2, TODAY()), 2, FALSE), """")"),44.69)</f>
        <v>44.69</v>
      </c>
      <c r="L187" s="18">
        <f>IFERROR(__xludf.DUMMYFUNCTION("IFERROR(VLOOKUP($A187, GOOGLEFINANCE(L$1, ""price"", $A$2, TODAY()), 2, FALSE), """")"),45.17)</f>
        <v>45.17</v>
      </c>
      <c r="M187" s="196">
        <f>IFERROR(__xludf.DUMMYFUNCTION("IFERROR(VLOOKUP($A187, GOOGLEFINANCE(M$1, ""price"", $A$2, TODAY()), 2, FALSE), """")"),42.5)</f>
        <v>42.5</v>
      </c>
      <c r="O187" s="18">
        <v>0.21516613076098606</v>
      </c>
      <c r="P187" s="18">
        <v>0.17742943908538764</v>
      </c>
      <c r="Q187" s="18">
        <v>0.07821245682982017</v>
      </c>
      <c r="R187" s="18">
        <v>0.1715642491365964</v>
      </c>
      <c r="S187" s="18">
        <v>0.21739907109682027</v>
      </c>
      <c r="T187" s="18">
        <v>0.11812254376563057</v>
      </c>
      <c r="U187" s="18">
        <v>0.23040967012028105</v>
      </c>
      <c r="V187" s="18">
        <v>0.06622901036084317</v>
      </c>
      <c r="W187" s="18">
        <v>0.06652673573895439</v>
      </c>
      <c r="X187" s="18">
        <v>0.06724127664642135</v>
      </c>
      <c r="Y187" s="196">
        <v>0.06326664284863642</v>
      </c>
      <c r="AA187" s="18">
        <v>-0.0261225654111773</v>
      </c>
      <c r="AB187" s="18">
        <v>0.03201450695943775</v>
      </c>
      <c r="AC187" s="18">
        <v>0.018019807134149968</v>
      </c>
      <c r="AD187" s="18">
        <v>0.02024600674013599</v>
      </c>
      <c r="AE187" s="18">
        <v>0.024216289007285674</v>
      </c>
      <c r="AF187" s="18">
        <v>0.04971567226390361</v>
      </c>
      <c r="AG187" s="18">
        <v>0.012602017181916558</v>
      </c>
      <c r="AH187" s="18">
        <v>0.02913069973970317</v>
      </c>
      <c r="AI187" s="18">
        <v>0.049590873924654444</v>
      </c>
      <c r="AJ187" s="18">
        <v>0.01900662288311694</v>
      </c>
      <c r="AK187" s="18">
        <v>0.052117461051577774</v>
      </c>
    </row>
    <row r="188">
      <c r="A188" s="230">
        <f>IFERROR(__xludf.DUMMYFUNCTION("""COMPUTED_VALUE"""),45954.66666666667)</f>
        <v>45954.66667</v>
      </c>
      <c r="B188" s="18">
        <f>IFERROR(__xludf.DUMMYFUNCTION("""COMPUTED_VALUE"""),677.25)</f>
        <v>677.25</v>
      </c>
      <c r="C188" s="18">
        <f>IFERROR(__xludf.DUMMYFUNCTION("IFERROR(VLOOKUP($A188, GOOGLEFINANCE(C$1, ""price"", $A$2, TODAY()), 2, FALSE), """")"),146.79)</f>
        <v>146.79</v>
      </c>
      <c r="D188" s="18">
        <f>IFERROR(__xludf.DUMMYFUNCTION("IFERROR(VLOOKUP($A188, GOOGLEFINANCE(D$1, ""price"", $A$2, TODAY()), 2, FALSE), """")"),118.83)</f>
        <v>118.83</v>
      </c>
      <c r="E188" s="18">
        <f>IFERROR(__xludf.DUMMYFUNCTION("IFERROR(VLOOKUP($A188, GOOGLEFINANCE(E$1, ""price"", $A$2, TODAY()), 2, FALSE), """")"),53.11)</f>
        <v>53.11</v>
      </c>
      <c r="F188" s="18">
        <f>IFERROR(__xludf.DUMMYFUNCTION("IFERROR(VLOOKUP($A188, GOOGLEFINANCE(F$1, ""price"", $A$2, TODAY()), 2, FALSE), """")"),115.55)</f>
        <v>115.55</v>
      </c>
      <c r="G188" s="18">
        <f>IFERROR(__xludf.DUMMYFUNCTION("IFERROR(VLOOKUP($A188, GOOGLEFINANCE(G$1, ""price"", $A$2, TODAY()), 2, FALSE), """")"),146.03)</f>
        <v>146.03</v>
      </c>
      <c r="H188" s="18">
        <f>IFERROR(__xludf.DUMMYFUNCTION("IFERROR(VLOOKUP($A188, GOOGLEFINANCE(H$1, ""price"", $A$2, TODAY()), 2, FALSE), """")"),79.09)</f>
        <v>79.09</v>
      </c>
      <c r="I188" s="18">
        <f>IFERROR(__xludf.DUMMYFUNCTION("IFERROR(VLOOKUP($A188, GOOGLEFINANCE(I$1, ""price"", $A$2, TODAY()), 2, FALSE), """")"),154.91)</f>
        <v>154.91</v>
      </c>
      <c r="J188" s="18">
        <f>IFERROR(__xludf.DUMMYFUNCTION("IFERROR(VLOOKUP($A188, GOOGLEFINANCE(J$1, ""price"", $A$2, TODAY()), 2, FALSE), """")"),44.04)</f>
        <v>44.04</v>
      </c>
      <c r="K188" s="18">
        <f>IFERROR(__xludf.DUMMYFUNCTION("IFERROR(VLOOKUP($A188, GOOGLEFINANCE(K$1, ""price"", $A$2, TODAY()), 2, FALSE), """")"),44.51)</f>
        <v>44.51</v>
      </c>
      <c r="L188" s="18">
        <f>IFERROR(__xludf.DUMMYFUNCTION("IFERROR(VLOOKUP($A188, GOOGLEFINANCE(L$1, ""price"", $A$2, TODAY()), 2, FALSE), """")"),45.7)</f>
        <v>45.7</v>
      </c>
      <c r="M188" s="196">
        <f>IFERROR(__xludf.DUMMYFUNCTION("IFERROR(VLOOKUP($A188, GOOGLEFINANCE(M$1, ""price"", $A$2, TODAY()), 2, FALSE), """")"),42.65)</f>
        <v>42.65</v>
      </c>
      <c r="O188" s="18">
        <v>0.2167441860465116</v>
      </c>
      <c r="P188" s="18">
        <v>0.17545957918050942</v>
      </c>
      <c r="Q188" s="18">
        <v>0.07842008121077888</v>
      </c>
      <c r="R188" s="18">
        <v>0.17061646363971944</v>
      </c>
      <c r="S188" s="18">
        <v>0.2156220007382798</v>
      </c>
      <c r="T188" s="18">
        <v>0.116781100036914</v>
      </c>
      <c r="U188" s="18">
        <v>0.22873385012919897</v>
      </c>
      <c r="V188" s="18">
        <v>0.06502768549280177</v>
      </c>
      <c r="W188" s="18">
        <v>0.06572166851236619</v>
      </c>
      <c r="X188" s="18">
        <v>0.06747877445551864</v>
      </c>
      <c r="Y188" s="196">
        <v>0.06297526762643041</v>
      </c>
      <c r="AA188" s="18">
        <v>-0.01667859827801199</v>
      </c>
      <c r="AB188" s="18">
        <v>-0.0024676121042073174</v>
      </c>
      <c r="AC188" s="18">
        <v>0.021332835413859996</v>
      </c>
      <c r="AD188" s="18">
        <v>0.013593460413788172</v>
      </c>
      <c r="AE188" s="18">
        <v>0.01952957936603883</v>
      </c>
      <c r="AF188" s="18">
        <v>0.044201849648368485</v>
      </c>
      <c r="AG188" s="18">
        <v>0.0061280137954433656</v>
      </c>
      <c r="AH188" s="18">
        <v>0.006416681806679758</v>
      </c>
      <c r="AI188" s="18">
        <v>0.04636137314529587</v>
      </c>
      <c r="AJ188" s="18">
        <v>0.03309927957645442</v>
      </c>
      <c r="AK188" s="18">
        <v>0.050193423894452804</v>
      </c>
    </row>
    <row r="189">
      <c r="A189" s="230">
        <f>IFERROR(__xludf.DUMMYFUNCTION("""COMPUTED_VALUE"""),45957.66666666667)</f>
        <v>45957.66667</v>
      </c>
      <c r="B189" s="18">
        <f>IFERROR(__xludf.DUMMYFUNCTION("""COMPUTED_VALUE"""),685.24)</f>
        <v>685.24</v>
      </c>
      <c r="C189" s="18">
        <f>IFERROR(__xludf.DUMMYFUNCTION("IFERROR(VLOOKUP($A189, GOOGLEFINANCE(C$1, ""price"", $A$2, TODAY()), 2, FALSE), """")"),149.5)</f>
        <v>149.5</v>
      </c>
      <c r="D189" s="18">
        <f>IFERROR(__xludf.DUMMYFUNCTION("IFERROR(VLOOKUP($A189, GOOGLEFINANCE(D$1, ""price"", $A$2, TODAY()), 2, FALSE), """")"),120.54)</f>
        <v>120.54</v>
      </c>
      <c r="E189" s="18">
        <f>IFERROR(__xludf.DUMMYFUNCTION("IFERROR(VLOOKUP($A189, GOOGLEFINANCE(E$1, ""price"", $A$2, TODAY()), 2, FALSE), """")"),53.33)</f>
        <v>53.33</v>
      </c>
      <c r="F189" s="18">
        <f>IFERROR(__xludf.DUMMYFUNCTION("IFERROR(VLOOKUP($A189, GOOGLEFINANCE(F$1, ""price"", $A$2, TODAY()), 2, FALSE), """")"),117.16)</f>
        <v>117.16</v>
      </c>
      <c r="G189" s="18">
        <f>IFERROR(__xludf.DUMMYFUNCTION("IFERROR(VLOOKUP($A189, GOOGLEFINANCE(G$1, ""price"", $A$2, TODAY()), 2, FALSE), """")"),146.37)</f>
        <v>146.37</v>
      </c>
      <c r="H189" s="18">
        <f>IFERROR(__xludf.DUMMYFUNCTION("IFERROR(VLOOKUP($A189, GOOGLEFINANCE(H$1, ""price"", $A$2, TODAY()), 2, FALSE), """")"),79.22)</f>
        <v>79.22</v>
      </c>
      <c r="I189" s="18">
        <f>IFERROR(__xludf.DUMMYFUNCTION("IFERROR(VLOOKUP($A189, GOOGLEFINANCE(I$1, ""price"", $A$2, TODAY()), 2, FALSE), """")"),155.79)</f>
        <v>155.79</v>
      </c>
      <c r="J189" s="18">
        <f>IFERROR(__xludf.DUMMYFUNCTION("IFERROR(VLOOKUP($A189, GOOGLEFINANCE(J$1, ""price"", $A$2, TODAY()), 2, FALSE), """")"),44.14)</f>
        <v>44.14</v>
      </c>
      <c r="K189" s="18">
        <f>IFERROR(__xludf.DUMMYFUNCTION("IFERROR(VLOOKUP($A189, GOOGLEFINANCE(K$1, ""price"", $A$2, TODAY()), 2, FALSE), """")"),44.49)</f>
        <v>44.49</v>
      </c>
      <c r="L189" s="18">
        <f>IFERROR(__xludf.DUMMYFUNCTION("IFERROR(VLOOKUP($A189, GOOGLEFINANCE(L$1, ""price"", $A$2, TODAY()), 2, FALSE), """")"),45.82)</f>
        <v>45.82</v>
      </c>
      <c r="M189" s="196">
        <f>IFERROR(__xludf.DUMMYFUNCTION("IFERROR(VLOOKUP($A189, GOOGLEFINANCE(M$1, ""price"", $A$2, TODAY()), 2, FALSE), """")"),42.74)</f>
        <v>42.74</v>
      </c>
      <c r="O189" s="18">
        <v>0.21817173545035315</v>
      </c>
      <c r="P189" s="18">
        <v>0.17590917050960247</v>
      </c>
      <c r="Q189" s="18">
        <v>0.07782674683322631</v>
      </c>
      <c r="R189" s="18">
        <v>0.17097659214289884</v>
      </c>
      <c r="S189" s="18">
        <v>0.21360399276166014</v>
      </c>
      <c r="T189" s="18">
        <v>0.11560912964800653</v>
      </c>
      <c r="U189" s="18">
        <v>0.22735100110910045</v>
      </c>
      <c r="V189" s="18">
        <v>0.06441538730955577</v>
      </c>
      <c r="W189" s="18">
        <v>0.06492615725877066</v>
      </c>
      <c r="X189" s="18">
        <v>0.06686708306578718</v>
      </c>
      <c r="Y189" s="196">
        <v>0.06237230751269628</v>
      </c>
      <c r="AA189" s="18">
        <v>-0.012417370809192363</v>
      </c>
      <c r="AB189" s="18">
        <v>-0.007302233247735157</v>
      </c>
      <c r="AC189" s="18">
        <v>0.019791547095242112</v>
      </c>
      <c r="AD189" s="18">
        <v>0.02856892750179152</v>
      </c>
      <c r="AE189" s="18">
        <v>0.010482190472501651</v>
      </c>
      <c r="AF189" s="18">
        <v>0.043873449440654966</v>
      </c>
      <c r="AG189" s="18">
        <v>0.0062048775770253695</v>
      </c>
      <c r="AH189" s="18">
        <v>-0.0011887732218778257</v>
      </c>
      <c r="AI189" s="18">
        <v>0.04220437634973795</v>
      </c>
      <c r="AJ189" s="18">
        <v>0.024965288070323277</v>
      </c>
      <c r="AK189" s="18">
        <v>0.04387687033372245</v>
      </c>
    </row>
    <row r="190">
      <c r="A190" s="230">
        <f>IFERROR(__xludf.DUMMYFUNCTION("""COMPUTED_VALUE"""),45958.66666666667)</f>
        <v>45958.66667</v>
      </c>
      <c r="B190" s="18">
        <f>IFERROR(__xludf.DUMMYFUNCTION("""COMPUTED_VALUE"""),687.06)</f>
        <v>687.06</v>
      </c>
      <c r="C190" s="18">
        <f>IFERROR(__xludf.DUMMYFUNCTION("IFERROR(VLOOKUP($A190, GOOGLEFINANCE(C$1, ""price"", $A$2, TODAY()), 2, FALSE), """")"),150.98)</f>
        <v>150.98</v>
      </c>
      <c r="D190" s="18">
        <f>IFERROR(__xludf.DUMMYFUNCTION("IFERROR(VLOOKUP($A190, GOOGLEFINANCE(D$1, ""price"", $A$2, TODAY()), 2, FALSE), """")"),120.57)</f>
        <v>120.57</v>
      </c>
      <c r="E190" s="18">
        <f>IFERROR(__xludf.DUMMYFUNCTION("IFERROR(VLOOKUP($A190, GOOGLEFINANCE(E$1, ""price"", $A$2, TODAY()), 2, FALSE), """")"),52.99)</f>
        <v>52.99</v>
      </c>
      <c r="F190" s="18">
        <f>IFERROR(__xludf.DUMMYFUNCTION("IFERROR(VLOOKUP($A190, GOOGLEFINANCE(F$1, ""price"", $A$2, TODAY()), 2, FALSE), """")"),116.58)</f>
        <v>116.58</v>
      </c>
      <c r="G190" s="18">
        <f>IFERROR(__xludf.DUMMYFUNCTION("IFERROR(VLOOKUP($A190, GOOGLEFINANCE(G$1, ""price"", $A$2, TODAY()), 2, FALSE), """")"),145.45)</f>
        <v>145.45</v>
      </c>
      <c r="H190" s="18">
        <f>IFERROR(__xludf.DUMMYFUNCTION("IFERROR(VLOOKUP($A190, GOOGLEFINANCE(H$1, ""price"", $A$2, TODAY()), 2, FALSE), """")"),78.43)</f>
        <v>78.43</v>
      </c>
      <c r="I190" s="18">
        <f>IFERROR(__xludf.DUMMYFUNCTION("IFERROR(VLOOKUP($A190, GOOGLEFINANCE(I$1, ""price"", $A$2, TODAY()), 2, FALSE), """")"),154.68)</f>
        <v>154.68</v>
      </c>
      <c r="J190" s="18">
        <f>IFERROR(__xludf.DUMMYFUNCTION("IFERROR(VLOOKUP($A190, GOOGLEFINANCE(J$1, ""price"", $A$2, TODAY()), 2, FALSE), """")"),43.68)</f>
        <v>43.68</v>
      </c>
      <c r="K190" s="18">
        <f>IFERROR(__xludf.DUMMYFUNCTION("IFERROR(VLOOKUP($A190, GOOGLEFINANCE(K$1, ""price"", $A$2, TODAY()), 2, FALSE), """")"),44.55)</f>
        <v>44.55</v>
      </c>
      <c r="L190" s="18">
        <f>IFERROR(__xludf.DUMMYFUNCTION("IFERROR(VLOOKUP($A190, GOOGLEFINANCE(L$1, ""price"", $A$2, TODAY()), 2, FALSE), """")"),45.07)</f>
        <v>45.07</v>
      </c>
      <c r="M190" s="196">
        <f>IFERROR(__xludf.DUMMYFUNCTION("IFERROR(VLOOKUP($A190, GOOGLEFINANCE(M$1, ""price"", $A$2, TODAY()), 2, FALSE), """")"),41.79)</f>
        <v>41.79</v>
      </c>
      <c r="O190" s="18">
        <v>0.21974791139056268</v>
      </c>
      <c r="P190" s="18">
        <v>0.175486857043053</v>
      </c>
      <c r="Q190" s="18">
        <v>0.0771257240997875</v>
      </c>
      <c r="R190" s="18">
        <v>0.1696795039734521</v>
      </c>
      <c r="S190" s="18">
        <v>0.2116991238028702</v>
      </c>
      <c r="T190" s="18">
        <v>0.11415305795709256</v>
      </c>
      <c r="U190" s="18">
        <v>0.2251331761418217</v>
      </c>
      <c r="V190" s="18">
        <v>0.06357523360405205</v>
      </c>
      <c r="W190" s="18">
        <v>0.06484149855907781</v>
      </c>
      <c r="X190" s="18">
        <v>0.06559834657817368</v>
      </c>
      <c r="Y190" s="196">
        <v>0.06082438215003057</v>
      </c>
      <c r="AA190" s="18">
        <v>0.009611347127737258</v>
      </c>
      <c r="AB190" s="18">
        <v>-0.004906404520061192</v>
      </c>
      <c r="AC190" s="18">
        <v>-0.006517093835549215</v>
      </c>
      <c r="AD190" s="18">
        <v>0.01564035336436298</v>
      </c>
      <c r="AE190" s="18">
        <v>-0.014833105743279895</v>
      </c>
      <c r="AF190" s="18">
        <v>0.014353347216043977</v>
      </c>
      <c r="AG190" s="18">
        <v>-0.003873102299956299</v>
      </c>
      <c r="AH190" s="18">
        <v>-0.015400441770639706</v>
      </c>
      <c r="AI190" s="18">
        <v>0.03360655068535645</v>
      </c>
      <c r="AJ190" s="18">
        <v>-0.002822432610400827</v>
      </c>
      <c r="AK190" s="18">
        <v>0.0032011676352379226</v>
      </c>
    </row>
    <row r="191">
      <c r="A191" s="230">
        <f>IFERROR(__xludf.DUMMYFUNCTION("""COMPUTED_VALUE"""),45959.66666666667)</f>
        <v>45959.66667</v>
      </c>
      <c r="B191" s="18">
        <f>IFERROR(__xludf.DUMMYFUNCTION("""COMPUTED_VALUE"""),687.39)</f>
        <v>687.39</v>
      </c>
      <c r="C191" s="18">
        <f>IFERROR(__xludf.DUMMYFUNCTION("IFERROR(VLOOKUP($A191, GOOGLEFINANCE(C$1, ""price"", $A$2, TODAY()), 2, FALSE), """")"),152.07)</f>
        <v>152.07</v>
      </c>
      <c r="D191" s="18">
        <f>IFERROR(__xludf.DUMMYFUNCTION("IFERROR(VLOOKUP($A191, GOOGLEFINANCE(D$1, ""price"", $A$2, TODAY()), 2, FALSE), """")"),119.58)</f>
        <v>119.58</v>
      </c>
      <c r="E191" s="18">
        <f>IFERROR(__xludf.DUMMYFUNCTION("IFERROR(VLOOKUP($A191, GOOGLEFINANCE(E$1, ""price"", $A$2, TODAY()), 2, FALSE), """")"),52.09)</f>
        <v>52.09</v>
      </c>
      <c r="F191" s="18">
        <f>IFERROR(__xludf.DUMMYFUNCTION("IFERROR(VLOOKUP($A191, GOOGLEFINANCE(F$1, ""price"", $A$2, TODAY()), 2, FALSE), """")"),116.29)</f>
        <v>116.29</v>
      </c>
      <c r="G191" s="18">
        <f>IFERROR(__xludf.DUMMYFUNCTION("IFERROR(VLOOKUP($A191, GOOGLEFINANCE(G$1, ""price"", $A$2, TODAY()), 2, FALSE), """")"),143.98)</f>
        <v>143.98</v>
      </c>
      <c r="H191" s="18">
        <f>IFERROR(__xludf.DUMMYFUNCTION("IFERROR(VLOOKUP($A191, GOOGLEFINANCE(H$1, ""price"", $A$2, TODAY()), 2, FALSE), """")"),76.58)</f>
        <v>76.58</v>
      </c>
      <c r="I191" s="18">
        <f>IFERROR(__xludf.DUMMYFUNCTION("IFERROR(VLOOKUP($A191, GOOGLEFINANCE(I$1, ""price"", $A$2, TODAY()), 2, FALSE), """")"),155.08)</f>
        <v>155.08</v>
      </c>
      <c r="J191" s="18">
        <f>IFERROR(__xludf.DUMMYFUNCTION("IFERROR(VLOOKUP($A191, GOOGLEFINANCE(J$1, ""price"", $A$2, TODAY()), 2, FALSE), """")"),44.01)</f>
        <v>44.01</v>
      </c>
      <c r="K191" s="18">
        <f>IFERROR(__xludf.DUMMYFUNCTION("IFERROR(VLOOKUP($A191, GOOGLEFINANCE(K$1, ""price"", $A$2, TODAY()), 2, FALSE), """")"),43.67)</f>
        <v>43.67</v>
      </c>
      <c r="L191" s="18">
        <f>IFERROR(__xludf.DUMMYFUNCTION("IFERROR(VLOOKUP($A191, GOOGLEFINANCE(L$1, ""price"", $A$2, TODAY()), 2, FALSE), """")"),45.05)</f>
        <v>45.05</v>
      </c>
      <c r="M191" s="196">
        <f>IFERROR(__xludf.DUMMYFUNCTION("IFERROR(VLOOKUP($A191, GOOGLEFINANCE(M$1, ""price"", $A$2, TODAY()), 2, FALSE), """")"),40.65)</f>
        <v>40.65</v>
      </c>
      <c r="O191" s="18">
        <v>0.22122812377253087</v>
      </c>
      <c r="P191" s="18">
        <v>0.1739623794352551</v>
      </c>
      <c r="Q191" s="18">
        <v>0.07577939743086168</v>
      </c>
      <c r="R191" s="18">
        <v>0.16917615909454606</v>
      </c>
      <c r="S191" s="18">
        <v>0.2094589679803314</v>
      </c>
      <c r="T191" s="18">
        <v>0.11140691601565342</v>
      </c>
      <c r="U191" s="18">
        <v>0.22560700621190302</v>
      </c>
      <c r="V191" s="18">
        <v>0.0640247894208528</v>
      </c>
      <c r="W191" s="18">
        <v>0.06353016482637222</v>
      </c>
      <c r="X191" s="18">
        <v>0.06553775876867571</v>
      </c>
      <c r="Y191" s="196">
        <v>0.0591367346048095</v>
      </c>
      <c r="AA191" s="18">
        <v>0.0159939820102446</v>
      </c>
      <c r="AB191" s="18">
        <v>-0.022040744563675663</v>
      </c>
      <c r="AC191" s="18">
        <v>-0.023828819178645322</v>
      </c>
      <c r="AD191" s="18">
        <v>0.010671679415293012</v>
      </c>
      <c r="AE191" s="18">
        <v>-0.025640481092180756</v>
      </c>
      <c r="AF191" s="18">
        <v>-0.005963943193488919</v>
      </c>
      <c r="AG191" s="18">
        <v>-0.002174965606649648</v>
      </c>
      <c r="AH191" s="18">
        <v>-0.007505906754027958</v>
      </c>
      <c r="AI191" s="18">
        <v>0.01025038918219412</v>
      </c>
      <c r="AJ191" s="18">
        <v>-5.159895008036708E-4</v>
      </c>
      <c r="AK191" s="18">
        <v>-0.021014692559813808</v>
      </c>
    </row>
    <row r="192">
      <c r="A192" s="230">
        <f>IFERROR(__xludf.DUMMYFUNCTION("""COMPUTED_VALUE"""),45960.66666666667)</f>
        <v>45960.66667</v>
      </c>
      <c r="B192" s="18">
        <f>IFERROR(__xludf.DUMMYFUNCTION("""COMPUTED_VALUE"""),679.83)</f>
        <v>679.83</v>
      </c>
      <c r="C192" s="18">
        <f>IFERROR(__xludf.DUMMYFUNCTION("IFERROR(VLOOKUP($A192, GOOGLEFINANCE(C$1, ""price"", $A$2, TODAY()), 2, FALSE), """")"),150.2)</f>
        <v>150.2</v>
      </c>
      <c r="D192" s="18">
        <f>IFERROR(__xludf.DUMMYFUNCTION("IFERROR(VLOOKUP($A192, GOOGLEFINANCE(D$1, ""price"", $A$2, TODAY()), 2, FALSE), """")"),116.88)</f>
        <v>116.88</v>
      </c>
      <c r="E192" s="18">
        <f>IFERROR(__xludf.DUMMYFUNCTION("IFERROR(VLOOKUP($A192, GOOGLEFINANCE(E$1, ""price"", $A$2, TODAY()), 2, FALSE), """")"),52.23)</f>
        <v>52.23</v>
      </c>
      <c r="F192" s="18">
        <f>IFERROR(__xludf.DUMMYFUNCTION("IFERROR(VLOOKUP($A192, GOOGLEFINANCE(F$1, ""price"", $A$2, TODAY()), 2, FALSE), """")"),114.32)</f>
        <v>114.32</v>
      </c>
      <c r="G192" s="18">
        <f>IFERROR(__xludf.DUMMYFUNCTION("IFERROR(VLOOKUP($A192, GOOGLEFINANCE(G$1, ""price"", $A$2, TODAY()), 2, FALSE), """")"),144.3)</f>
        <v>144.3</v>
      </c>
      <c r="H192" s="18">
        <f>IFERROR(__xludf.DUMMYFUNCTION("IFERROR(VLOOKUP($A192, GOOGLEFINANCE(H$1, ""price"", $A$2, TODAY()), 2, FALSE), """")"),76.5)</f>
        <v>76.5</v>
      </c>
      <c r="I192" s="18">
        <f>IFERROR(__xludf.DUMMYFUNCTION("IFERROR(VLOOKUP($A192, GOOGLEFINANCE(I$1, ""price"", $A$2, TODAY()), 2, FALSE), """")"),154.69)</f>
        <v>154.69</v>
      </c>
      <c r="J192" s="18">
        <f>IFERROR(__xludf.DUMMYFUNCTION("IFERROR(VLOOKUP($A192, GOOGLEFINANCE(J$1, ""price"", $A$2, TODAY()), 2, FALSE), """")"),43.75)</f>
        <v>43.75</v>
      </c>
      <c r="K192" s="18">
        <f>IFERROR(__xludf.DUMMYFUNCTION("IFERROR(VLOOKUP($A192, GOOGLEFINANCE(K$1, ""price"", $A$2, TODAY()), 2, FALSE), """")"),43.09)</f>
        <v>43.09</v>
      </c>
      <c r="L192" s="18">
        <f>IFERROR(__xludf.DUMMYFUNCTION("IFERROR(VLOOKUP($A192, GOOGLEFINANCE(L$1, ""price"", $A$2, TODAY()), 2, FALSE), """")"),44.86)</f>
        <v>44.86</v>
      </c>
      <c r="M192" s="196">
        <f>IFERROR(__xludf.DUMMYFUNCTION("IFERROR(VLOOKUP($A192, GOOGLEFINANCE(M$1, ""price"", $A$2, TODAY()), 2, FALSE), """")"),40.88)</f>
        <v>40.88</v>
      </c>
      <c r="O192" s="18">
        <v>0.22093758733801094</v>
      </c>
      <c r="P192" s="18">
        <v>0.17192533427474513</v>
      </c>
      <c r="Q192" s="18">
        <v>0.07682803053704601</v>
      </c>
      <c r="R192" s="18">
        <v>0.16815968698056866</v>
      </c>
      <c r="S192" s="18">
        <v>0.2122589470897136</v>
      </c>
      <c r="T192" s="18">
        <v>0.11252813203300825</v>
      </c>
      <c r="U192" s="18">
        <v>0.22754217966256268</v>
      </c>
      <c r="V192" s="18">
        <v>0.06435432387508641</v>
      </c>
      <c r="W192" s="18">
        <v>0.06338349293205654</v>
      </c>
      <c r="X192" s="18">
        <v>0.06598708500654575</v>
      </c>
      <c r="Y192" s="196">
        <v>0.06013268022888075</v>
      </c>
      <c r="AA192" s="18">
        <v>0.024323379226325104</v>
      </c>
      <c r="AB192" s="18">
        <v>-0.021288570550281105</v>
      </c>
      <c r="AC192" s="18">
        <v>-0.017389865497284718</v>
      </c>
      <c r="AD192" s="18">
        <v>0.0028391439496882054</v>
      </c>
      <c r="AE192" s="18">
        <v>-0.025083631467000767</v>
      </c>
      <c r="AF192" s="18">
        <v>-0.0022654473142095233</v>
      </c>
      <c r="AG192" s="18">
        <v>-4.3385248304361745E-4</v>
      </c>
      <c r="AH192" s="18">
        <v>-0.022715295951310166</v>
      </c>
      <c r="AI192" s="18">
        <v>0.0020421968699722015</v>
      </c>
      <c r="AJ192" s="18">
        <v>4.076307342715246E-5</v>
      </c>
      <c r="AK192" s="18">
        <v>-0.010372283716644892</v>
      </c>
    </row>
    <row r="193">
      <c r="A193" s="230">
        <f>IFERROR(__xludf.DUMMYFUNCTION("""COMPUTED_VALUE"""),45961.66666666667)</f>
        <v>45961.66667</v>
      </c>
      <c r="B193" s="18">
        <f>IFERROR(__xludf.DUMMYFUNCTION("""COMPUTED_VALUE"""),682.06)</f>
        <v>682.06</v>
      </c>
      <c r="C193" s="18">
        <f>IFERROR(__xludf.DUMMYFUNCTION("IFERROR(VLOOKUP($A193, GOOGLEFINANCE(C$1, ""price"", $A$2, TODAY()), 2, FALSE), """")"),150.34)</f>
        <v>150.34</v>
      </c>
      <c r="D193" s="18">
        <f>IFERROR(__xludf.DUMMYFUNCTION("IFERROR(VLOOKUP($A193, GOOGLEFINANCE(D$1, ""price"", $A$2, TODAY()), 2, FALSE), """")"),119.97)</f>
        <v>119.97</v>
      </c>
      <c r="E193" s="18">
        <f>IFERROR(__xludf.DUMMYFUNCTION("IFERROR(VLOOKUP($A193, GOOGLEFINANCE(E$1, ""price"", $A$2, TODAY()), 2, FALSE), """")"),52.37)</f>
        <v>52.37</v>
      </c>
      <c r="F193" s="18">
        <f>IFERROR(__xludf.DUMMYFUNCTION("IFERROR(VLOOKUP($A193, GOOGLEFINANCE(F$1, ""price"", $A$2, TODAY()), 2, FALSE), """")"),114.81)</f>
        <v>114.81</v>
      </c>
      <c r="G193" s="18">
        <f>IFERROR(__xludf.DUMMYFUNCTION("IFERROR(VLOOKUP($A193, GOOGLEFINANCE(G$1, ""price"", $A$2, TODAY()), 2, FALSE), """")"),144.25)</f>
        <v>144.25</v>
      </c>
      <c r="H193" s="18">
        <f>IFERROR(__xludf.DUMMYFUNCTION("IFERROR(VLOOKUP($A193, GOOGLEFINANCE(H$1, ""price"", $A$2, TODAY()), 2, FALSE), """")"),76.28)</f>
        <v>76.28</v>
      </c>
      <c r="I193" s="18">
        <f>IFERROR(__xludf.DUMMYFUNCTION("IFERROR(VLOOKUP($A193, GOOGLEFINANCE(I$1, ""price"", $A$2, TODAY()), 2, FALSE), """")"),155.06)</f>
        <v>155.06</v>
      </c>
      <c r="J193" s="18">
        <f>IFERROR(__xludf.DUMMYFUNCTION("IFERROR(VLOOKUP($A193, GOOGLEFINANCE(J$1, ""price"", $A$2, TODAY()), 2, FALSE), """")"),44.07)</f>
        <v>44.07</v>
      </c>
      <c r="K193" s="18">
        <f>IFERROR(__xludf.DUMMYFUNCTION("IFERROR(VLOOKUP($A193, GOOGLEFINANCE(K$1, ""price"", $A$2, TODAY()), 2, FALSE), """")"),42.84)</f>
        <v>42.84</v>
      </c>
      <c r="L193" s="18">
        <f>IFERROR(__xludf.DUMMYFUNCTION("IFERROR(VLOOKUP($A193, GOOGLEFINANCE(L$1, ""price"", $A$2, TODAY()), 2, FALSE), """")"),44.55)</f>
        <v>44.55</v>
      </c>
      <c r="M193" s="196">
        <f>IFERROR(__xludf.DUMMYFUNCTION("IFERROR(VLOOKUP($A193, GOOGLEFINANCE(M$1, ""price"", $A$2, TODAY()), 2, FALSE), """")"),40.9)</f>
        <v>40.9</v>
      </c>
      <c r="O193" s="18">
        <v>0.22042049086590626</v>
      </c>
      <c r="P193" s="18">
        <v>0.1758936163973844</v>
      </c>
      <c r="Q193" s="18">
        <v>0.07678210128141219</v>
      </c>
      <c r="R193" s="18">
        <v>0.1683282995630883</v>
      </c>
      <c r="S193" s="18">
        <v>0.21149165762542887</v>
      </c>
      <c r="T193" s="18">
        <v>0.11183766824033077</v>
      </c>
      <c r="U193" s="18">
        <v>0.22734070316394453</v>
      </c>
      <c r="V193" s="18">
        <v>0.06461308389291265</v>
      </c>
      <c r="W193" s="18">
        <v>0.06280972348473743</v>
      </c>
      <c r="X193" s="18">
        <v>0.06531683429610298</v>
      </c>
      <c r="Y193" s="196">
        <v>0.059965398938509815</v>
      </c>
      <c r="AA193" s="18">
        <v>0.026482070768303112</v>
      </c>
      <c r="AB193" s="18">
        <v>7.575663033410063E-4</v>
      </c>
      <c r="AC193" s="18">
        <v>-0.023901354740637704</v>
      </c>
      <c r="AD193" s="18">
        <v>0.00743233572246349</v>
      </c>
      <c r="AE193" s="18">
        <v>-0.028982088976775455</v>
      </c>
      <c r="AF193" s="18">
        <v>-0.021773950473018555</v>
      </c>
      <c r="AG193" s="18">
        <v>-0.00516016694768251</v>
      </c>
      <c r="AH193" s="18">
        <v>-0.03164081081912895</v>
      </c>
      <c r="AI193" s="18">
        <v>-0.017864363398874983</v>
      </c>
      <c r="AJ193" s="18">
        <v>-0.02283977017488925</v>
      </c>
      <c r="AK193" s="18">
        <v>-0.025079144032664646</v>
      </c>
    </row>
    <row r="194">
      <c r="A194" s="230">
        <f>IFERROR(__xludf.DUMMYFUNCTION("""COMPUTED_VALUE"""),45964.66666666667)</f>
        <v>45964.66667</v>
      </c>
      <c r="B194" s="18">
        <f>IFERROR(__xludf.DUMMYFUNCTION("""COMPUTED_VALUE"""),683.34)</f>
        <v>683.34</v>
      </c>
      <c r="C194" s="18">
        <f>IFERROR(__xludf.DUMMYFUNCTION("IFERROR(VLOOKUP($A194, GOOGLEFINANCE(C$1, ""price"", $A$2, TODAY()), 2, FALSE), """")"),150.96)</f>
        <v>150.96</v>
      </c>
      <c r="D194" s="18">
        <f>IFERROR(__xludf.DUMMYFUNCTION("IFERROR(VLOOKUP($A194, GOOGLEFINANCE(D$1, ""price"", $A$2, TODAY()), 2, FALSE), """")"),121.09)</f>
        <v>121.09</v>
      </c>
      <c r="E194" s="18">
        <f>IFERROR(__xludf.DUMMYFUNCTION("IFERROR(VLOOKUP($A194, GOOGLEFINANCE(E$1, ""price"", $A$2, TODAY()), 2, FALSE), """")"),52.15)</f>
        <v>52.15</v>
      </c>
      <c r="F194" s="18">
        <f>IFERROR(__xludf.DUMMYFUNCTION("IFERROR(VLOOKUP($A194, GOOGLEFINANCE(F$1, ""price"", $A$2, TODAY()), 2, FALSE), """")"),113.59)</f>
        <v>113.59</v>
      </c>
      <c r="G194" s="18">
        <f>IFERROR(__xludf.DUMMYFUNCTION("IFERROR(VLOOKUP($A194, GOOGLEFINANCE(G$1, ""price"", $A$2, TODAY()), 2, FALSE), """")"),144.45)</f>
        <v>144.45</v>
      </c>
      <c r="H194" s="18">
        <f>IFERROR(__xludf.DUMMYFUNCTION("IFERROR(VLOOKUP($A194, GOOGLEFINANCE(H$1, ""price"", $A$2, TODAY()), 2, FALSE), """")"),75.68)</f>
        <v>75.68</v>
      </c>
      <c r="I194" s="18">
        <f>IFERROR(__xludf.DUMMYFUNCTION("IFERROR(VLOOKUP($A194, GOOGLEFINANCE(I$1, ""price"", $A$2, TODAY()), 2, FALSE), """")"),154.4)</f>
        <v>154.4</v>
      </c>
      <c r="J194" s="18">
        <f>IFERROR(__xludf.DUMMYFUNCTION("IFERROR(VLOOKUP($A194, GOOGLEFINANCE(J$1, ""price"", $A$2, TODAY()), 2, FALSE), """")"),44.07)</f>
        <v>44.07</v>
      </c>
      <c r="K194" s="18">
        <f>IFERROR(__xludf.DUMMYFUNCTION("IFERROR(VLOOKUP($A194, GOOGLEFINANCE(K$1, ""price"", $A$2, TODAY()), 2, FALSE), """")"),42.57)</f>
        <v>42.57</v>
      </c>
      <c r="L194" s="18">
        <f>IFERROR(__xludf.DUMMYFUNCTION("IFERROR(VLOOKUP($A194, GOOGLEFINANCE(L$1, ""price"", $A$2, TODAY()), 2, FALSE), """")"),44.58)</f>
        <v>44.58</v>
      </c>
      <c r="M194" s="196">
        <f>IFERROR(__xludf.DUMMYFUNCTION("IFERROR(VLOOKUP($A194, GOOGLEFINANCE(M$1, ""price"", $A$2, TODAY()), 2, FALSE), """")"),40.83)</f>
        <v>40.83</v>
      </c>
      <c r="O194" s="18">
        <v>0.22091491790323997</v>
      </c>
      <c r="P194" s="18">
        <v>0.1772031492375684</v>
      </c>
      <c r="Q194" s="18">
        <v>0.07631632862118418</v>
      </c>
      <c r="R194" s="18">
        <v>0.16622764655954575</v>
      </c>
      <c r="S194" s="18">
        <v>0.21138818157871628</v>
      </c>
      <c r="T194" s="18">
        <v>0.11075013902303393</v>
      </c>
      <c r="U194" s="18">
        <v>0.22594901513155968</v>
      </c>
      <c r="V194" s="18">
        <v>0.06449205373606111</v>
      </c>
      <c r="W194" s="18">
        <v>0.06229695320045658</v>
      </c>
      <c r="X194" s="18">
        <v>0.06523838791816665</v>
      </c>
      <c r="Y194" s="196">
        <v>0.05975063657915532</v>
      </c>
      <c r="AA194" s="18">
        <v>0.018816064266268695</v>
      </c>
      <c r="AB194" s="18">
        <v>0.01065713103823751</v>
      </c>
      <c r="AC194" s="18">
        <v>-0.01821787850444123</v>
      </c>
      <c r="AD194" s="18">
        <v>-5.148771595286927E-5</v>
      </c>
      <c r="AE194" s="18">
        <v>-0.02194213433595571</v>
      </c>
      <c r="AF194" s="18">
        <v>-0.012566076987357788</v>
      </c>
      <c r="AG194" s="18">
        <v>-0.0014870501215950016</v>
      </c>
      <c r="AH194" s="18">
        <v>-0.027280542321791</v>
      </c>
      <c r="AI194" s="18">
        <v>-0.02004534189937357</v>
      </c>
      <c r="AJ194" s="18">
        <v>-0.008341577895260133</v>
      </c>
      <c r="AK194" s="18">
        <v>-0.012694621956847674</v>
      </c>
    </row>
    <row r="195">
      <c r="A195" s="230">
        <f>IFERROR(__xludf.DUMMYFUNCTION("""COMPUTED_VALUE"""),45965.66666666667)</f>
        <v>45965.66667</v>
      </c>
      <c r="B195" s="18">
        <f>IFERROR(__xludf.DUMMYFUNCTION("""COMPUTED_VALUE"""),675.24)</f>
        <v>675.24</v>
      </c>
      <c r="C195" s="18">
        <f>IFERROR(__xludf.DUMMYFUNCTION("IFERROR(VLOOKUP($A195, GOOGLEFINANCE(C$1, ""price"", $A$2, TODAY()), 2, FALSE), """")"),146.97)</f>
        <v>146.97</v>
      </c>
      <c r="D195" s="18">
        <f>IFERROR(__xludf.DUMMYFUNCTION("IFERROR(VLOOKUP($A195, GOOGLEFINANCE(D$1, ""price"", $A$2, TODAY()), 2, FALSE), """")"),119.08)</f>
        <v>119.08</v>
      </c>
      <c r="E195" s="18">
        <f>IFERROR(__xludf.DUMMYFUNCTION("IFERROR(VLOOKUP($A195, GOOGLEFINANCE(E$1, ""price"", $A$2, TODAY()), 2, FALSE), """")"),52.42)</f>
        <v>52.42</v>
      </c>
      <c r="F195" s="18">
        <f>IFERROR(__xludf.DUMMYFUNCTION("IFERROR(VLOOKUP($A195, GOOGLEFINANCE(F$1, ""price"", $A$2, TODAY()), 2, FALSE), """")"),112.81)</f>
        <v>112.81</v>
      </c>
      <c r="G195" s="18">
        <f>IFERROR(__xludf.DUMMYFUNCTION("IFERROR(VLOOKUP($A195, GOOGLEFINANCE(G$1, ""price"", $A$2, TODAY()), 2, FALSE), """")"),145.1)</f>
        <v>145.1</v>
      </c>
      <c r="H195" s="18">
        <f>IFERROR(__xludf.DUMMYFUNCTION("IFERROR(VLOOKUP($A195, GOOGLEFINANCE(H$1, ""price"", $A$2, TODAY()), 2, FALSE), """")"),75.99)</f>
        <v>75.99</v>
      </c>
      <c r="I195" s="18">
        <f>IFERROR(__xludf.DUMMYFUNCTION("IFERROR(VLOOKUP($A195, GOOGLEFINANCE(I$1, ""price"", $A$2, TODAY()), 2, FALSE), """")"),152.61)</f>
        <v>152.61</v>
      </c>
      <c r="J195" s="18">
        <f>IFERROR(__xludf.DUMMYFUNCTION("IFERROR(VLOOKUP($A195, GOOGLEFINANCE(J$1, ""price"", $A$2, TODAY()), 2, FALSE), """")"),43.6)</f>
        <v>43.6</v>
      </c>
      <c r="K195" s="18">
        <f>IFERROR(__xludf.DUMMYFUNCTION("IFERROR(VLOOKUP($A195, GOOGLEFINANCE(K$1, ""price"", $A$2, TODAY()), 2, FALSE), """")"),42.36)</f>
        <v>42.36</v>
      </c>
      <c r="L195" s="18">
        <f>IFERROR(__xludf.DUMMYFUNCTION("IFERROR(VLOOKUP($A195, GOOGLEFINANCE(L$1, ""price"", $A$2, TODAY()), 2, FALSE), """")"),44.42)</f>
        <v>44.42</v>
      </c>
      <c r="M195" s="196">
        <f>IFERROR(__xludf.DUMMYFUNCTION("IFERROR(VLOOKUP($A195, GOOGLEFINANCE(M$1, ""price"", $A$2, TODAY()), 2, FALSE), """")"),40.94)</f>
        <v>40.94</v>
      </c>
      <c r="O195" s="18">
        <v>0.2176559445530478</v>
      </c>
      <c r="P195" s="18">
        <v>0.17635211184171554</v>
      </c>
      <c r="Q195" s="18">
        <v>0.0776316568923642</v>
      </c>
      <c r="R195" s="18">
        <v>0.16706652449499437</v>
      </c>
      <c r="S195" s="18">
        <v>0.2148865588531485</v>
      </c>
      <c r="T195" s="18">
        <v>0.11253776435045316</v>
      </c>
      <c r="U195" s="18">
        <v>0.22600853030033768</v>
      </c>
      <c r="V195" s="18">
        <v>0.06456963450032581</v>
      </c>
      <c r="W195" s="18">
        <v>0.06273325039985783</v>
      </c>
      <c r="X195" s="18">
        <v>0.06578401753450625</v>
      </c>
      <c r="Y195" s="196">
        <v>0.06063029441383804</v>
      </c>
      <c r="AA195" s="18">
        <v>0.01466800989510375</v>
      </c>
      <c r="AB195" s="18">
        <v>0.005581001735613045</v>
      </c>
      <c r="AC195" s="18">
        <v>-0.0035252460536600028</v>
      </c>
      <c r="AD195" s="18">
        <v>-8.19297459884849E-4</v>
      </c>
      <c r="AE195" s="18">
        <v>-0.0259654917925376</v>
      </c>
      <c r="AF195" s="18">
        <v>-0.007318958396493436</v>
      </c>
      <c r="AG195" s="18">
        <v>8.02815061790918E-4</v>
      </c>
      <c r="AH195" s="18">
        <v>-0.03646361451338154</v>
      </c>
      <c r="AI195" s="18">
        <v>-0.02109184320075619</v>
      </c>
      <c r="AJ195" s="18">
        <v>0.0015711987531823457</v>
      </c>
      <c r="AK195" s="18">
        <v>-0.0069426598404944695</v>
      </c>
    </row>
    <row r="196">
      <c r="A196" s="230">
        <f>IFERROR(__xludf.DUMMYFUNCTION("""COMPUTED_VALUE"""),45966.66666666667)</f>
        <v>45966.66667</v>
      </c>
      <c r="B196" s="18">
        <f>IFERROR(__xludf.DUMMYFUNCTION("""COMPUTED_VALUE"""),677.58)</f>
        <v>677.58</v>
      </c>
      <c r="C196" s="18">
        <f>IFERROR(__xludf.DUMMYFUNCTION("IFERROR(VLOOKUP($A196, GOOGLEFINANCE(C$1, ""price"", $A$2, TODAY()), 2, FALSE), """")"),147.54)</f>
        <v>147.54</v>
      </c>
      <c r="D196" s="18">
        <f>IFERROR(__xludf.DUMMYFUNCTION("IFERROR(VLOOKUP($A196, GOOGLEFINANCE(D$1, ""price"", $A$2, TODAY()), 2, FALSE), """")"),120.53)</f>
        <v>120.53</v>
      </c>
      <c r="E196" s="18">
        <f>IFERROR(__xludf.DUMMYFUNCTION("IFERROR(VLOOKUP($A196, GOOGLEFINANCE(E$1, ""price"", $A$2, TODAY()), 2, FALSE), """")"),52.6)</f>
        <v>52.6</v>
      </c>
      <c r="F196" s="18">
        <f>IFERROR(__xludf.DUMMYFUNCTION("IFERROR(VLOOKUP($A196, GOOGLEFINANCE(F$1, ""price"", $A$2, TODAY()), 2, FALSE), """")"),113.42)</f>
        <v>113.42</v>
      </c>
      <c r="G196" s="18">
        <f>IFERROR(__xludf.DUMMYFUNCTION("IFERROR(VLOOKUP($A196, GOOGLEFINANCE(G$1, ""price"", $A$2, TODAY()), 2, FALSE), """")"),145.66)</f>
        <v>145.66</v>
      </c>
      <c r="H196" s="18">
        <f>IFERROR(__xludf.DUMMYFUNCTION("IFERROR(VLOOKUP($A196, GOOGLEFINANCE(H$1, ""price"", $A$2, TODAY()), 2, FALSE), """")"),75.94)</f>
        <v>75.94</v>
      </c>
      <c r="I196" s="18">
        <f>IFERROR(__xludf.DUMMYFUNCTION("IFERROR(VLOOKUP($A196, GOOGLEFINANCE(I$1, ""price"", $A$2, TODAY()), 2, FALSE), """")"),153.2)</f>
        <v>153.2</v>
      </c>
      <c r="J196" s="18">
        <f>IFERROR(__xludf.DUMMYFUNCTION("IFERROR(VLOOKUP($A196, GOOGLEFINANCE(J$1, ""price"", $A$2, TODAY()), 2, FALSE), """")"),43.71)</f>
        <v>43.71</v>
      </c>
      <c r="K196" s="18">
        <f>IFERROR(__xludf.DUMMYFUNCTION("IFERROR(VLOOKUP($A196, GOOGLEFINANCE(K$1, ""price"", $A$2, TODAY()), 2, FALSE), """")"),42.61)</f>
        <v>42.61</v>
      </c>
      <c r="L196" s="18">
        <f>IFERROR(__xludf.DUMMYFUNCTION("IFERROR(VLOOKUP($A196, GOOGLEFINANCE(L$1, ""price"", $A$2, TODAY()), 2, FALSE), """")"),44.43)</f>
        <v>44.43</v>
      </c>
      <c r="M196" s="196">
        <f>IFERROR(__xludf.DUMMYFUNCTION("IFERROR(VLOOKUP($A196, GOOGLEFINANCE(M$1, ""price"", $A$2, TODAY()), 2, FALSE), """")"),40.93)</f>
        <v>40.93</v>
      </c>
      <c r="O196" s="18">
        <v>0.2177455060657044</v>
      </c>
      <c r="P196" s="18">
        <v>0.1778830543994805</v>
      </c>
      <c r="Q196" s="18">
        <v>0.07762920983500103</v>
      </c>
      <c r="R196" s="18">
        <v>0.16738982850733491</v>
      </c>
      <c r="S196" s="18">
        <v>0.21497092594232414</v>
      </c>
      <c r="T196" s="18">
        <v>0.11207532689866878</v>
      </c>
      <c r="U196" s="18">
        <v>0.22609876324566838</v>
      </c>
      <c r="V196" s="18">
        <v>0.06450898786859116</v>
      </c>
      <c r="W196" s="18">
        <v>0.06288556332831548</v>
      </c>
      <c r="X196" s="18">
        <v>0.06557159302222615</v>
      </c>
      <c r="Y196" s="196">
        <v>0.06040615130316715</v>
      </c>
      <c r="AA196" s="18">
        <v>0.012540309847448583</v>
      </c>
      <c r="AB196" s="18">
        <v>0.021784666012582887</v>
      </c>
      <c r="AC196" s="18">
        <v>-0.011547430276821369</v>
      </c>
      <c r="AD196" s="18">
        <v>0.00749393170109669</v>
      </c>
      <c r="AE196" s="18">
        <v>-0.03869368295729958</v>
      </c>
      <c r="AF196" s="18">
        <v>-0.009440805793943574</v>
      </c>
      <c r="AG196" s="18">
        <v>7.861443540699842E-4</v>
      </c>
      <c r="AH196" s="18">
        <v>-0.02317411633862565</v>
      </c>
      <c r="AI196" s="18">
        <v>-0.025074041122862156</v>
      </c>
      <c r="AJ196" s="18">
        <v>-0.003329287377026202</v>
      </c>
      <c r="AK196" s="18">
        <v>-0.002166892009708321</v>
      </c>
    </row>
    <row r="197">
      <c r="A197" s="230">
        <f>IFERROR(__xludf.DUMMYFUNCTION("""COMPUTED_VALUE"""),45967.66666666667)</f>
        <v>45967.66667</v>
      </c>
      <c r="B197" s="18">
        <f>IFERROR(__xludf.DUMMYFUNCTION("""COMPUTED_VALUE"""),670.31)</f>
        <v>670.31</v>
      </c>
      <c r="C197" s="18">
        <f>IFERROR(__xludf.DUMMYFUNCTION("IFERROR(VLOOKUP($A197, GOOGLEFINANCE(C$1, ""price"", $A$2, TODAY()), 2, FALSE), """")"),144.58)</f>
        <v>144.58</v>
      </c>
      <c r="D197" s="18">
        <f>IFERROR(__xludf.DUMMYFUNCTION("IFERROR(VLOOKUP($A197, GOOGLEFINANCE(D$1, ""price"", $A$2, TODAY()), 2, FALSE), """")"),117.75)</f>
        <v>117.75</v>
      </c>
      <c r="E197" s="18">
        <f>IFERROR(__xludf.DUMMYFUNCTION("IFERROR(VLOOKUP($A197, GOOGLEFINANCE(E$1, ""price"", $A$2, TODAY()), 2, FALSE), """")"),52.41)</f>
        <v>52.41</v>
      </c>
      <c r="F197" s="18">
        <f>IFERROR(__xludf.DUMMYFUNCTION("IFERROR(VLOOKUP($A197, GOOGLEFINANCE(F$1, ""price"", $A$2, TODAY()), 2, FALSE), """")"),112.4)</f>
        <v>112.4</v>
      </c>
      <c r="G197" s="18">
        <f>IFERROR(__xludf.DUMMYFUNCTION("IFERROR(VLOOKUP($A197, GOOGLEFINANCE(G$1, ""price"", $A$2, TODAY()), 2, FALSE), """")"),145.94)</f>
        <v>145.94</v>
      </c>
      <c r="H197" s="18">
        <f>IFERROR(__xludf.DUMMYFUNCTION("IFERROR(VLOOKUP($A197, GOOGLEFINANCE(H$1, ""price"", $A$2, TODAY()), 2, FALSE), """")"),75.6)</f>
        <v>75.6</v>
      </c>
      <c r="I197" s="18">
        <f>IFERROR(__xludf.DUMMYFUNCTION("IFERROR(VLOOKUP($A197, GOOGLEFINANCE(I$1, ""price"", $A$2, TODAY()), 2, FALSE), """")"),152.59)</f>
        <v>152.59</v>
      </c>
      <c r="J197" s="18">
        <f>IFERROR(__xludf.DUMMYFUNCTION("IFERROR(VLOOKUP($A197, GOOGLEFINANCE(J$1, ""price"", $A$2, TODAY()), 2, FALSE), """")"),44.14)</f>
        <v>44.14</v>
      </c>
      <c r="K197" s="18">
        <f>IFERROR(__xludf.DUMMYFUNCTION("IFERROR(VLOOKUP($A197, GOOGLEFINANCE(K$1, ""price"", $A$2, TODAY()), 2, FALSE), """")"),42.4)</f>
        <v>42.4</v>
      </c>
      <c r="L197" s="18">
        <f>IFERROR(__xludf.DUMMYFUNCTION("IFERROR(VLOOKUP($A197, GOOGLEFINANCE(L$1, ""price"", $A$2, TODAY()), 2, FALSE), """")"),44.23)</f>
        <v>44.23</v>
      </c>
      <c r="M197" s="196">
        <f>IFERROR(__xludf.DUMMYFUNCTION("IFERROR(VLOOKUP($A197, GOOGLEFINANCE(M$1, ""price"", $A$2, TODAY()), 2, FALSE), """")"),40.73)</f>
        <v>40.73</v>
      </c>
      <c r="O197" s="18">
        <v>0.21569124733332343</v>
      </c>
      <c r="P197" s="18">
        <v>0.17566499082514062</v>
      </c>
      <c r="Q197" s="18">
        <v>0.07818770419656577</v>
      </c>
      <c r="R197" s="18">
        <v>0.1676836090763975</v>
      </c>
      <c r="S197" s="18">
        <v>0.21772015932926558</v>
      </c>
      <c r="T197" s="18">
        <v>0.11278363742149156</v>
      </c>
      <c r="U197" s="18">
        <v>0.2276409422506005</v>
      </c>
      <c r="V197" s="18">
        <v>0.06585012904477033</v>
      </c>
      <c r="W197" s="18">
        <v>0.06325431516760902</v>
      </c>
      <c r="X197" s="18">
        <v>0.06598439527979591</v>
      </c>
      <c r="Y197" s="196">
        <v>0.06076293058435649</v>
      </c>
      <c r="AA197" s="18">
        <v>0.011606852242910692</v>
      </c>
      <c r="AB197" s="18">
        <v>0.017706038225236975</v>
      </c>
      <c r="AC197" s="18">
        <v>-0.00820564876821317</v>
      </c>
      <c r="AD197" s="18">
        <v>0.00679078570269076</v>
      </c>
      <c r="AE197" s="18">
        <v>-0.04205410582925473</v>
      </c>
      <c r="AF197" s="18">
        <v>-0.0197217318580033</v>
      </c>
      <c r="AG197" s="18">
        <v>0.0064724923032470905</v>
      </c>
      <c r="AH197" s="18">
        <v>-0.021796624154565514</v>
      </c>
      <c r="AI197" s="18">
        <v>-0.0292434353678932</v>
      </c>
      <c r="AJ197" s="18">
        <v>9.366269359567525E-5</v>
      </c>
      <c r="AK197" s="18">
        <v>1.2539480555817661E-4</v>
      </c>
    </row>
    <row r="198">
      <c r="A198" s="230">
        <f>IFERROR(__xludf.DUMMYFUNCTION("""COMPUTED_VALUE"""),45968.66666666667)</f>
        <v>45968.66667</v>
      </c>
      <c r="B198" s="18">
        <f>IFERROR(__xludf.DUMMYFUNCTION("""COMPUTED_VALUE"""),670.97)</f>
        <v>670.97</v>
      </c>
      <c r="C198" s="18">
        <f>IFERROR(__xludf.DUMMYFUNCTION("IFERROR(VLOOKUP($A198, GOOGLEFINANCE(C$1, ""price"", $A$2, TODAY()), 2, FALSE), """")"),144.08)</f>
        <v>144.08</v>
      </c>
      <c r="D198" s="18">
        <f>IFERROR(__xludf.DUMMYFUNCTION("IFERROR(VLOOKUP($A198, GOOGLEFINANCE(D$1, ""price"", $A$2, TODAY()), 2, FALSE), """")"),117.93)</f>
        <v>117.93</v>
      </c>
      <c r="E198" s="18">
        <f>IFERROR(__xludf.DUMMYFUNCTION("IFERROR(VLOOKUP($A198, GOOGLEFINANCE(E$1, ""price"", $A$2, TODAY()), 2, FALSE), """")"),52.78)</f>
        <v>52.78</v>
      </c>
      <c r="F198" s="18">
        <f>IFERROR(__xludf.DUMMYFUNCTION("IFERROR(VLOOKUP($A198, GOOGLEFINANCE(F$1, ""price"", $A$2, TODAY()), 2, FALSE), """")"),112.11)</f>
        <v>112.11</v>
      </c>
      <c r="G198" s="18">
        <f>IFERROR(__xludf.DUMMYFUNCTION("IFERROR(VLOOKUP($A198, GOOGLEFINANCE(G$1, ""price"", $A$2, TODAY()), 2, FALSE), """")"),146.14)</f>
        <v>146.14</v>
      </c>
      <c r="H198" s="18">
        <f>IFERROR(__xludf.DUMMYFUNCTION("IFERROR(VLOOKUP($A198, GOOGLEFINANCE(H$1, ""price"", $A$2, TODAY()), 2, FALSE), """")"),76.71)</f>
        <v>76.71</v>
      </c>
      <c r="I198" s="18">
        <f>IFERROR(__xludf.DUMMYFUNCTION("IFERROR(VLOOKUP($A198, GOOGLEFINANCE(I$1, ""price"", $A$2, TODAY()), 2, FALSE), """")"),153.33)</f>
        <v>153.33</v>
      </c>
      <c r="J198" s="18">
        <f>IFERROR(__xludf.DUMMYFUNCTION("IFERROR(VLOOKUP($A198, GOOGLEFINANCE(J$1, ""price"", $A$2, TODAY()), 2, FALSE), """")"),44.77)</f>
        <v>44.77</v>
      </c>
      <c r="K198" s="18">
        <f>IFERROR(__xludf.DUMMYFUNCTION("IFERROR(VLOOKUP($A198, GOOGLEFINANCE(K$1, ""price"", $A$2, TODAY()), 2, FALSE), """")"),42.91)</f>
        <v>42.91</v>
      </c>
      <c r="L198" s="18">
        <f>IFERROR(__xludf.DUMMYFUNCTION("IFERROR(VLOOKUP($A198, GOOGLEFINANCE(L$1, ""price"", $A$2, TODAY()), 2, FALSE), """")"),44.85)</f>
        <v>44.85</v>
      </c>
      <c r="M198" s="196">
        <f>IFERROR(__xludf.DUMMYFUNCTION("IFERROR(VLOOKUP($A198, GOOGLEFINANCE(M$1, ""price"", $A$2, TODAY()), 2, FALSE), """")"),41.27)</f>
        <v>41.27</v>
      </c>
      <c r="O198" s="18">
        <v>0.21473389272247642</v>
      </c>
      <c r="P198" s="18">
        <v>0.1757604661907388</v>
      </c>
      <c r="Q198" s="18">
        <v>0.0786622352713236</v>
      </c>
      <c r="R198" s="18">
        <v>0.16708645692057766</v>
      </c>
      <c r="S198" s="18">
        <v>0.2178040746978255</v>
      </c>
      <c r="T198" s="18">
        <v>0.11432701909176265</v>
      </c>
      <c r="U198" s="18">
        <v>0.2285199040195538</v>
      </c>
      <c r="V198" s="18">
        <v>0.06672429467785446</v>
      </c>
      <c r="W198" s="18">
        <v>0.06395218862244213</v>
      </c>
      <c r="X198" s="18">
        <v>0.06684352504582917</v>
      </c>
      <c r="Y198" s="196">
        <v>0.061507966078960315</v>
      </c>
      <c r="AA198" s="18">
        <v>0.0015002744291912062</v>
      </c>
      <c r="AB198" s="18">
        <v>0.022942659571616453</v>
      </c>
      <c r="AC198" s="18">
        <v>0.007731472752344315</v>
      </c>
      <c r="AD198" s="18">
        <v>0.00844698642453734</v>
      </c>
      <c r="AE198" s="18">
        <v>-0.03609897970289222</v>
      </c>
      <c r="AF198" s="18">
        <v>-0.005698240508308694</v>
      </c>
      <c r="AG198" s="18">
        <v>0.010126827891972834</v>
      </c>
      <c r="AH198" s="18">
        <v>-0.02555845853312888</v>
      </c>
      <c r="AI198" s="18">
        <v>-0.00964752014110315</v>
      </c>
      <c r="AJ198" s="18">
        <v>0.012036272736457576</v>
      </c>
      <c r="AK198" s="18">
        <v>0.00925635280673509</v>
      </c>
    </row>
    <row r="199">
      <c r="A199" s="230">
        <f>IFERROR(__xludf.DUMMYFUNCTION("""COMPUTED_VALUE"""),45971.66666666667)</f>
        <v>45971.66667</v>
      </c>
      <c r="B199" s="18">
        <f>IFERROR(__xludf.DUMMYFUNCTION("""COMPUTED_VALUE"""),681.44)</f>
        <v>681.44</v>
      </c>
      <c r="C199" s="18">
        <f>IFERROR(__xludf.DUMMYFUNCTION("IFERROR(VLOOKUP($A199, GOOGLEFINANCE(C$1, ""price"", $A$2, TODAY()), 2, FALSE), """")"),147.76)</f>
        <v>147.76</v>
      </c>
      <c r="D199" s="18">
        <f>IFERROR(__xludf.DUMMYFUNCTION("IFERROR(VLOOKUP($A199, GOOGLEFINANCE(D$1, ""price"", $A$2, TODAY()), 2, FALSE), """")"),119.48)</f>
        <v>119.48</v>
      </c>
      <c r="E199" s="18">
        <f>IFERROR(__xludf.DUMMYFUNCTION("IFERROR(VLOOKUP($A199, GOOGLEFINANCE(E$1, ""price"", $A$2, TODAY()), 2, FALSE), """")"),52.97)</f>
        <v>52.97</v>
      </c>
      <c r="F199" s="18">
        <f>IFERROR(__xludf.DUMMYFUNCTION("IFERROR(VLOOKUP($A199, GOOGLEFINANCE(F$1, ""price"", $A$2, TODAY()), 2, FALSE), """")"),113.28)</f>
        <v>113.28</v>
      </c>
      <c r="G199" s="18">
        <f>IFERROR(__xludf.DUMMYFUNCTION("IFERROR(VLOOKUP($A199, GOOGLEFINANCE(G$1, ""price"", $A$2, TODAY()), 2, FALSE), """")"),147.28)</f>
        <v>147.28</v>
      </c>
      <c r="H199" s="18">
        <f>IFERROR(__xludf.DUMMYFUNCTION("IFERROR(VLOOKUP($A199, GOOGLEFINANCE(H$1, ""price"", $A$2, TODAY()), 2, FALSE), """")"),76.43)</f>
        <v>76.43</v>
      </c>
      <c r="I199" s="18">
        <f>IFERROR(__xludf.DUMMYFUNCTION("IFERROR(VLOOKUP($A199, GOOGLEFINANCE(I$1, ""price"", $A$2, TODAY()), 2, FALSE), """")"),154.2)</f>
        <v>154.2</v>
      </c>
      <c r="J199" s="18">
        <f>IFERROR(__xludf.DUMMYFUNCTION("IFERROR(VLOOKUP($A199, GOOGLEFINANCE(J$1, ""price"", $A$2, TODAY()), 2, FALSE), """")"),45.18)</f>
        <v>45.18</v>
      </c>
      <c r="K199" s="18">
        <f>IFERROR(__xludf.DUMMYFUNCTION("IFERROR(VLOOKUP($A199, GOOGLEFINANCE(K$1, ""price"", $A$2, TODAY()), 2, FALSE), """")"),43.32)</f>
        <v>43.32</v>
      </c>
      <c r="L199" s="18">
        <f>IFERROR(__xludf.DUMMYFUNCTION("IFERROR(VLOOKUP($A199, GOOGLEFINANCE(L$1, ""price"", $A$2, TODAY()), 2, FALSE), """")"),44.83)</f>
        <v>44.83</v>
      </c>
      <c r="M199" s="196">
        <f>IFERROR(__xludf.DUMMYFUNCTION("IFERROR(VLOOKUP($A199, GOOGLEFINANCE(M$1, ""price"", $A$2, TODAY()), 2, FALSE), """")"),41.24)</f>
        <v>41.24</v>
      </c>
      <c r="O199" s="18">
        <v>0.2168349377788213</v>
      </c>
      <c r="P199" s="18">
        <v>0.1753345855834703</v>
      </c>
      <c r="Q199" s="18">
        <v>0.0777324489316741</v>
      </c>
      <c r="R199" s="18">
        <v>0.166236205682085</v>
      </c>
      <c r="S199" s="18">
        <v>0.21613054707677856</v>
      </c>
      <c r="T199" s="18">
        <v>0.11215954449401268</v>
      </c>
      <c r="U199" s="18">
        <v>0.22628551303122796</v>
      </c>
      <c r="V199" s="18">
        <v>0.06630077482977224</v>
      </c>
      <c r="W199" s="18">
        <v>0.06357126085935665</v>
      </c>
      <c r="X199" s="18">
        <v>0.06578715660953274</v>
      </c>
      <c r="Y199" s="196">
        <v>0.06051890115050481</v>
      </c>
      <c r="AA199" s="18">
        <v>0.017772620443011977</v>
      </c>
      <c r="AB199" s="18">
        <v>0.02059263365992181</v>
      </c>
      <c r="AC199" s="18">
        <v>0.0057173815422251195</v>
      </c>
      <c r="AD199" s="18">
        <v>-0.004690996254780422</v>
      </c>
      <c r="AE199" s="18">
        <v>-0.051604342303235406</v>
      </c>
      <c r="AF199" s="18">
        <v>-0.027468490512838062</v>
      </c>
      <c r="AG199" s="18">
        <v>7.406155959175376E-4</v>
      </c>
      <c r="AH199" s="18">
        <v>-0.02292590699724406</v>
      </c>
      <c r="AI199" s="18">
        <v>-0.009654078721087256</v>
      </c>
      <c r="AJ199" s="18">
        <v>-0.022051439475934353</v>
      </c>
      <c r="AK199" s="18">
        <v>-0.009694765760655533</v>
      </c>
    </row>
    <row r="200">
      <c r="A200" s="230">
        <f>IFERROR(__xludf.DUMMYFUNCTION("""COMPUTED_VALUE"""),45972.66666666667)</f>
        <v>45972.66667</v>
      </c>
      <c r="B200" s="18">
        <f>IFERROR(__xludf.DUMMYFUNCTION("""COMPUTED_VALUE"""),683.0)</f>
        <v>683</v>
      </c>
      <c r="C200" s="18">
        <f>IFERROR(__xludf.DUMMYFUNCTION("IFERROR(VLOOKUP($A200, GOOGLEFINANCE(C$1, ""price"", $A$2, TODAY()), 2, FALSE), """")"),146.51)</f>
        <v>146.51</v>
      </c>
      <c r="D200" s="18">
        <f>IFERROR(__xludf.DUMMYFUNCTION("IFERROR(VLOOKUP($A200, GOOGLEFINANCE(D$1, ""price"", $A$2, TODAY()), 2, FALSE), """")"),119.78)</f>
        <v>119.78</v>
      </c>
      <c r="E200" s="18">
        <f>IFERROR(__xludf.DUMMYFUNCTION("IFERROR(VLOOKUP($A200, GOOGLEFINANCE(E$1, ""price"", $A$2, TODAY()), 2, FALSE), """")"),53.21)</f>
        <v>53.21</v>
      </c>
      <c r="F200" s="18">
        <f>IFERROR(__xludf.DUMMYFUNCTION("IFERROR(VLOOKUP($A200, GOOGLEFINANCE(F$1, ""price"", $A$2, TODAY()), 2, FALSE), """")"),114.2)</f>
        <v>114.2</v>
      </c>
      <c r="G200" s="18">
        <f>IFERROR(__xludf.DUMMYFUNCTION("IFERROR(VLOOKUP($A200, GOOGLEFINANCE(G$1, ""price"", $A$2, TODAY()), 2, FALSE), """")"),150.68)</f>
        <v>150.68</v>
      </c>
      <c r="H200" s="18">
        <f>IFERROR(__xludf.DUMMYFUNCTION("IFERROR(VLOOKUP($A200, GOOGLEFINANCE(H$1, ""price"", $A$2, TODAY()), 2, FALSE), """")"),77.43)</f>
        <v>77.43</v>
      </c>
      <c r="I200" s="18">
        <f>IFERROR(__xludf.DUMMYFUNCTION("IFERROR(VLOOKUP($A200, GOOGLEFINANCE(I$1, ""price"", $A$2, TODAY()), 2, FALSE), """")"),154.24)</f>
        <v>154.24</v>
      </c>
      <c r="J200" s="18">
        <f>IFERROR(__xludf.DUMMYFUNCTION("IFERROR(VLOOKUP($A200, GOOGLEFINANCE(J$1, ""price"", $A$2, TODAY()), 2, FALSE), """")"),45.77)</f>
        <v>45.77</v>
      </c>
      <c r="K200" s="18">
        <f>IFERROR(__xludf.DUMMYFUNCTION("IFERROR(VLOOKUP($A200, GOOGLEFINANCE(K$1, ""price"", $A$2, TODAY()), 2, FALSE), """")"),43.77)</f>
        <v>43.77</v>
      </c>
      <c r="L200" s="18">
        <f>IFERROR(__xludf.DUMMYFUNCTION("IFERROR(VLOOKUP($A200, GOOGLEFINANCE(L$1, ""price"", $A$2, TODAY()), 2, FALSE), """")"),44.86)</f>
        <v>44.86</v>
      </c>
      <c r="M200" s="196">
        <f>IFERROR(__xludf.DUMMYFUNCTION("IFERROR(VLOOKUP($A200, GOOGLEFINANCE(M$1, ""price"", $A$2, TODAY()), 2, FALSE), """")"),41.7)</f>
        <v>41.7</v>
      </c>
      <c r="O200" s="18">
        <v>0.21450951683748168</v>
      </c>
      <c r="P200" s="18">
        <v>0.17537335285505123</v>
      </c>
      <c r="Q200" s="18">
        <v>0.07790629575402636</v>
      </c>
      <c r="R200" s="18">
        <v>0.16720351390922403</v>
      </c>
      <c r="S200" s="18">
        <v>0.22061493411420205</v>
      </c>
      <c r="T200" s="18">
        <v>0.1133674963396779</v>
      </c>
      <c r="U200" s="18">
        <v>0.22582723279648612</v>
      </c>
      <c r="V200" s="18">
        <v>0.06701317715959004</v>
      </c>
      <c r="W200" s="18">
        <v>0.06408491947291362</v>
      </c>
      <c r="X200" s="18">
        <v>0.06568081991215227</v>
      </c>
      <c r="Y200" s="196">
        <v>0.06105417276720352</v>
      </c>
      <c r="AA200" s="18">
        <v>0.014933996660346338</v>
      </c>
      <c r="AB200" s="18">
        <v>0.0312734320940955</v>
      </c>
      <c r="AC200" s="18">
        <v>0.0010587444289997805</v>
      </c>
      <c r="AD200" s="18">
        <v>-0.012899602350410433</v>
      </c>
      <c r="AE200" s="18">
        <v>-0.04565498584374805</v>
      </c>
      <c r="AF200" s="18">
        <v>-0.029421310195919648</v>
      </c>
      <c r="AG200" s="18">
        <v>-0.005244979484120393</v>
      </c>
      <c r="AH200" s="18">
        <v>-0.02846347508231506</v>
      </c>
      <c r="AI200" s="18">
        <v>-0.010730270213264226</v>
      </c>
      <c r="AJ200" s="18">
        <v>-0.028141770732717508</v>
      </c>
      <c r="AK200" s="18">
        <v>-0.012965016895035375</v>
      </c>
    </row>
    <row r="201">
      <c r="A201" s="230">
        <f>IFERROR(__xludf.DUMMYFUNCTION("""COMPUTED_VALUE"""),45973.66666666667)</f>
        <v>45973.66667</v>
      </c>
      <c r="B201" s="18">
        <f>IFERROR(__xludf.DUMMYFUNCTION("""COMPUTED_VALUE"""),683.38)</f>
        <v>683.38</v>
      </c>
      <c r="C201" s="18">
        <f>IFERROR(__xludf.DUMMYFUNCTION("IFERROR(VLOOKUP($A201, GOOGLEFINANCE(C$1, ""price"", $A$2, TODAY()), 2, FALSE), """")"),146.96)</f>
        <v>146.96</v>
      </c>
      <c r="D201" s="18">
        <f>IFERROR(__xludf.DUMMYFUNCTION("IFERROR(VLOOKUP($A201, GOOGLEFINANCE(D$1, ""price"", $A$2, TODAY()), 2, FALSE), """")"),118.97)</f>
        <v>118.97</v>
      </c>
      <c r="E201" s="18">
        <f>IFERROR(__xludf.DUMMYFUNCTION("IFERROR(VLOOKUP($A201, GOOGLEFINANCE(E$1, ""price"", $A$2, TODAY()), 2, FALSE), """")"),53.67)</f>
        <v>53.67</v>
      </c>
      <c r="F201" s="18">
        <f>IFERROR(__xludf.DUMMYFUNCTION("IFERROR(VLOOKUP($A201, GOOGLEFINANCE(F$1, ""price"", $A$2, TODAY()), 2, FALSE), """")"),113.54)</f>
        <v>113.54</v>
      </c>
      <c r="G201" s="18">
        <f>IFERROR(__xludf.DUMMYFUNCTION("IFERROR(VLOOKUP($A201, GOOGLEFINANCE(G$1, ""price"", $A$2, TODAY()), 2, FALSE), """")"),152.82)</f>
        <v>152.82</v>
      </c>
      <c r="H201" s="18">
        <f>IFERROR(__xludf.DUMMYFUNCTION("IFERROR(VLOOKUP($A201, GOOGLEFINANCE(H$1, ""price"", $A$2, TODAY()), 2, FALSE), """")"),77.32)</f>
        <v>77.32</v>
      </c>
      <c r="I201" s="18">
        <f>IFERROR(__xludf.DUMMYFUNCTION("IFERROR(VLOOKUP($A201, GOOGLEFINANCE(I$1, ""price"", $A$2, TODAY()), 2, FALSE), """")"),154.39)</f>
        <v>154.39</v>
      </c>
      <c r="J201" s="18">
        <f>IFERROR(__xludf.DUMMYFUNCTION("IFERROR(VLOOKUP($A201, GOOGLEFINANCE(J$1, ""price"", $A$2, TODAY()), 2, FALSE), """")"),45.13)</f>
        <v>45.13</v>
      </c>
      <c r="K201" s="18">
        <f>IFERROR(__xludf.DUMMYFUNCTION("IFERROR(VLOOKUP($A201, GOOGLEFINANCE(K$1, ""price"", $A$2, TODAY()), 2, FALSE), """")"),44.08)</f>
        <v>44.08</v>
      </c>
      <c r="L201" s="18">
        <f>IFERROR(__xludf.DUMMYFUNCTION("IFERROR(VLOOKUP($A201, GOOGLEFINANCE(L$1, ""price"", $A$2, TODAY()), 2, FALSE), """")"),44.96)</f>
        <v>44.96</v>
      </c>
      <c r="M201" s="196">
        <f>IFERROR(__xludf.DUMMYFUNCTION("IFERROR(VLOOKUP($A201, GOOGLEFINANCE(M$1, ""price"", $A$2, TODAY()), 2, FALSE), """")"),41.37)</f>
        <v>41.37</v>
      </c>
      <c r="O201" s="18">
        <v>0.21504872837952532</v>
      </c>
      <c r="P201" s="18">
        <v>0.17409054991366443</v>
      </c>
      <c r="Q201" s="18">
        <v>0.07853609997366034</v>
      </c>
      <c r="R201" s="18">
        <v>0.16614475109016946</v>
      </c>
      <c r="S201" s="18">
        <v>0.22362375252421784</v>
      </c>
      <c r="T201" s="18">
        <v>0.11314349263952704</v>
      </c>
      <c r="U201" s="18">
        <v>0.22592115660393922</v>
      </c>
      <c r="V201" s="18">
        <v>0.06603939243173637</v>
      </c>
      <c r="W201" s="18">
        <v>0.06450291199625391</v>
      </c>
      <c r="X201" s="18">
        <v>0.06579062893265826</v>
      </c>
      <c r="Y201" s="196">
        <v>0.06053732915800872</v>
      </c>
      <c r="AA201" s="18">
        <v>0.014290973636023052</v>
      </c>
      <c r="AB201" s="18">
        <v>0.02759327533664213</v>
      </c>
      <c r="AC201" s="18">
        <v>0.009316833311608708</v>
      </c>
      <c r="AD201" s="18">
        <v>-0.009870524193911434</v>
      </c>
      <c r="AE201" s="18">
        <v>-0.027244750639253912</v>
      </c>
      <c r="AF201" s="18">
        <v>-0.020098385469483726</v>
      </c>
      <c r="AG201" s="18">
        <v>-0.004309038906097462</v>
      </c>
      <c r="AH201" s="18">
        <v>-0.026264294458356208</v>
      </c>
      <c r="AI201" s="18">
        <v>-0.0029959277798523587</v>
      </c>
      <c r="AJ201" s="18">
        <v>-0.01458308206041281</v>
      </c>
      <c r="AK201" s="18">
        <v>-0.009779056529960028</v>
      </c>
    </row>
    <row r="202">
      <c r="A202" s="230">
        <f>IFERROR(__xludf.DUMMYFUNCTION("""COMPUTED_VALUE"""),45974.66666666667)</f>
        <v>45974.66667</v>
      </c>
      <c r="B202" s="18">
        <f>IFERROR(__xludf.DUMMYFUNCTION("""COMPUTED_VALUE"""),672.04)</f>
        <v>672.04</v>
      </c>
      <c r="C202" s="18">
        <f>IFERROR(__xludf.DUMMYFUNCTION("IFERROR(VLOOKUP($A202, GOOGLEFINANCE(C$1, ""price"", $A$2, TODAY()), 2, FALSE), """")"),143.29)</f>
        <v>143.29</v>
      </c>
      <c r="D202" s="18">
        <f>IFERROR(__xludf.DUMMYFUNCTION("IFERROR(VLOOKUP($A202, GOOGLEFINANCE(D$1, ""price"", $A$2, TODAY()), 2, FALSE), """")"),116.0)</f>
        <v>116</v>
      </c>
      <c r="E202" s="18">
        <f>IFERROR(__xludf.DUMMYFUNCTION("IFERROR(VLOOKUP($A202, GOOGLEFINANCE(E$1, ""price"", $A$2, TODAY()), 2, FALSE), """")"),52.98)</f>
        <v>52.98</v>
      </c>
      <c r="F202" s="18">
        <f>IFERROR(__xludf.DUMMYFUNCTION("IFERROR(VLOOKUP($A202, GOOGLEFINANCE(F$1, ""price"", $A$2, TODAY()), 2, FALSE), """")"),111.93)</f>
        <v>111.93</v>
      </c>
      <c r="G202" s="18">
        <f>IFERROR(__xludf.DUMMYFUNCTION("IFERROR(VLOOKUP($A202, GOOGLEFINANCE(G$1, ""price"", $A$2, TODAY()), 2, FALSE), """")"),152.74)</f>
        <v>152.74</v>
      </c>
      <c r="H202" s="18">
        <f>IFERROR(__xludf.DUMMYFUNCTION("IFERROR(VLOOKUP($A202, GOOGLEFINANCE(H$1, ""price"", $A$2, TODAY()), 2, FALSE), """")"),77.32)</f>
        <v>77.32</v>
      </c>
      <c r="I202" s="18">
        <f>IFERROR(__xludf.DUMMYFUNCTION("IFERROR(VLOOKUP($A202, GOOGLEFINANCE(I$1, ""price"", $A$2, TODAY()), 2, FALSE), """")"),152.0)</f>
        <v>152</v>
      </c>
      <c r="J202" s="18">
        <f>IFERROR(__xludf.DUMMYFUNCTION("IFERROR(VLOOKUP($A202, GOOGLEFINANCE(J$1, ""price"", $A$2, TODAY()), 2, FALSE), """")"),45.24)</f>
        <v>45.24</v>
      </c>
      <c r="K202" s="18">
        <f>IFERROR(__xludf.DUMMYFUNCTION("IFERROR(VLOOKUP($A202, GOOGLEFINANCE(K$1, ""price"", $A$2, TODAY()), 2, FALSE), """")"),43.79)</f>
        <v>43.79</v>
      </c>
      <c r="L202" s="18">
        <f>IFERROR(__xludf.DUMMYFUNCTION("IFERROR(VLOOKUP($A202, GOOGLEFINANCE(L$1, ""price"", $A$2, TODAY()), 2, FALSE), """")"),44.34)</f>
        <v>44.34</v>
      </c>
      <c r="M202" s="196">
        <f>IFERROR(__xludf.DUMMYFUNCTION("IFERROR(VLOOKUP($A202, GOOGLEFINANCE(M$1, ""price"", $A$2, TODAY()), 2, FALSE), """")"),40.83)</f>
        <v>40.83</v>
      </c>
      <c r="O202" s="18">
        <v>0.21321647520980894</v>
      </c>
      <c r="P202" s="18">
        <v>0.17260877328730434</v>
      </c>
      <c r="Q202" s="18">
        <v>0.07883459317897744</v>
      </c>
      <c r="R202" s="18">
        <v>0.166552586155586</v>
      </c>
      <c r="S202" s="18">
        <v>0.2272781382060592</v>
      </c>
      <c r="T202" s="18">
        <v>0.11505267543598595</v>
      </c>
      <c r="U202" s="18">
        <v>0.22617701327301948</v>
      </c>
      <c r="V202" s="18">
        <v>0.06731742158204869</v>
      </c>
      <c r="W202" s="18">
        <v>0.06515981191595739</v>
      </c>
      <c r="X202" s="18">
        <v>0.06597821558240582</v>
      </c>
      <c r="Y202" s="196">
        <v>0.060755312183798586</v>
      </c>
      <c r="AA202" s="18">
        <v>0.022489502231620717</v>
      </c>
      <c r="AB202" s="18">
        <v>0.01856034394252748</v>
      </c>
      <c r="AC202" s="18">
        <v>0.006494562455060526</v>
      </c>
      <c r="AD202" s="18">
        <v>-0.011725388341324638</v>
      </c>
      <c r="AE202" s="18">
        <v>-0.02056661257693948</v>
      </c>
      <c r="AF202" s="18">
        <v>-0.025754966230938203</v>
      </c>
      <c r="AG202" s="18">
        <v>-0.001641842176531294</v>
      </c>
      <c r="AH202" s="18">
        <v>-0.011329347176812332</v>
      </c>
      <c r="AI202" s="18">
        <v>0.00683713164858335</v>
      </c>
      <c r="AJ202" s="18">
        <v>-0.02175039731908046</v>
      </c>
      <c r="AK202" s="18">
        <v>-0.01796720685424591</v>
      </c>
    </row>
    <row r="203">
      <c r="A203" s="230">
        <f>IFERROR(__xludf.DUMMYFUNCTION("""COMPUTED_VALUE"""),45975.66666666667)</f>
        <v>45975.66667</v>
      </c>
      <c r="B203" s="18">
        <f>IFERROR(__xludf.DUMMYFUNCTION("""COMPUTED_VALUE"""),671.93)</f>
        <v>671.93</v>
      </c>
      <c r="C203" s="18">
        <f>IFERROR(__xludf.DUMMYFUNCTION("IFERROR(VLOOKUP($A203, GOOGLEFINANCE(C$1, ""price"", $A$2, TODAY()), 2, FALSE), """")"),144.07)</f>
        <v>144.07</v>
      </c>
      <c r="D203" s="18">
        <f>IFERROR(__xludf.DUMMYFUNCTION("IFERROR(VLOOKUP($A203, GOOGLEFINANCE(D$1, ""price"", $A$2, TODAY()), 2, FALSE), """")"),115.45)</f>
        <v>115.45</v>
      </c>
      <c r="E203" s="18">
        <f>IFERROR(__xludf.DUMMYFUNCTION("IFERROR(VLOOKUP($A203, GOOGLEFINANCE(E$1, ""price"", $A$2, TODAY()), 2, FALSE), """")"),52.45)</f>
        <v>52.45</v>
      </c>
      <c r="F203" s="18">
        <f>IFERROR(__xludf.DUMMYFUNCTION("IFERROR(VLOOKUP($A203, GOOGLEFINANCE(F$1, ""price"", $A$2, TODAY()), 2, FALSE), """")"),111.33)</f>
        <v>111.33</v>
      </c>
      <c r="G203" s="18">
        <f>IFERROR(__xludf.DUMMYFUNCTION("IFERROR(VLOOKUP($A203, GOOGLEFINANCE(G$1, ""price"", $A$2, TODAY()), 2, FALSE), """")"),151.83)</f>
        <v>151.83</v>
      </c>
      <c r="H203" s="18">
        <f>IFERROR(__xludf.DUMMYFUNCTION("IFERROR(VLOOKUP($A203, GOOGLEFINANCE(H$1, ""price"", $A$2, TODAY()), 2, FALSE), """")"),77.26)</f>
        <v>77.26</v>
      </c>
      <c r="I203" s="18">
        <f>IFERROR(__xludf.DUMMYFUNCTION("IFERROR(VLOOKUP($A203, GOOGLEFINANCE(I$1, ""price"", $A$2, TODAY()), 2, FALSE), """")"),152.01)</f>
        <v>152.01</v>
      </c>
      <c r="J203" s="18">
        <f>IFERROR(__xludf.DUMMYFUNCTION("IFERROR(VLOOKUP($A203, GOOGLEFINANCE(J$1, ""price"", $A$2, TODAY()), 2, FALSE), """")"),46.01)</f>
        <v>46.01</v>
      </c>
      <c r="K203" s="18">
        <f>IFERROR(__xludf.DUMMYFUNCTION("IFERROR(VLOOKUP($A203, GOOGLEFINANCE(K$1, ""price"", $A$2, TODAY()), 2, FALSE), """")"),43.39)</f>
        <v>43.39</v>
      </c>
      <c r="L203" s="18">
        <f>IFERROR(__xludf.DUMMYFUNCTION("IFERROR(VLOOKUP($A203, GOOGLEFINANCE(L$1, ""price"", $A$2, TODAY()), 2, FALSE), """")"),44.38)</f>
        <v>44.38</v>
      </c>
      <c r="M203" s="196">
        <f>IFERROR(__xludf.DUMMYFUNCTION("IFERROR(VLOOKUP($A203, GOOGLEFINANCE(M$1, ""price"", $A$2, TODAY()), 2, FALSE), """")"),40.95)</f>
        <v>40.95</v>
      </c>
      <c r="O203" s="18">
        <v>0.21441221555816828</v>
      </c>
      <c r="P203" s="18">
        <v>0.1718184929977825</v>
      </c>
      <c r="Q203" s="18">
        <v>0.07805872635542394</v>
      </c>
      <c r="R203" s="18">
        <v>0.1656869019094251</v>
      </c>
      <c r="S203" s="18">
        <v>0.2259610376080842</v>
      </c>
      <c r="T203" s="18">
        <v>0.11498221540934325</v>
      </c>
      <c r="U203" s="18">
        <v>0.22622892265563377</v>
      </c>
      <c r="V203" s="18">
        <v>0.06847439465420506</v>
      </c>
      <c r="W203" s="18">
        <v>0.06457517896209428</v>
      </c>
      <c r="X203" s="18">
        <v>0.06604854672361705</v>
      </c>
      <c r="Y203" s="196">
        <v>0.060943848317533085</v>
      </c>
      <c r="AA203" s="18">
        <v>0.034436913757684096</v>
      </c>
      <c r="AB203" s="18">
        <v>0.0042886158787458495</v>
      </c>
      <c r="AC203" s="18">
        <v>-0.004392443777529786</v>
      </c>
      <c r="AD203" s="18">
        <v>-0.02419446858473262</v>
      </c>
      <c r="AE203" s="18">
        <v>-0.03683395242962484</v>
      </c>
      <c r="AF203" s="18">
        <v>-0.02725636173017365</v>
      </c>
      <c r="AG203" s="18">
        <v>-0.003597895490594749</v>
      </c>
      <c r="AH203" s="18">
        <v>0.009319622208918688</v>
      </c>
      <c r="AI203" s="18">
        <v>-0.014428434659819578</v>
      </c>
      <c r="AJ203" s="18">
        <v>-0.012523281595613667</v>
      </c>
      <c r="AK203" s="18">
        <v>-0.017999404481568892</v>
      </c>
    </row>
    <row r="204">
      <c r="A204" s="230">
        <f>IFERROR(__xludf.DUMMYFUNCTION("""COMPUTED_VALUE"""),45978.66666666667)</f>
        <v>45978.66667</v>
      </c>
      <c r="B204" s="18">
        <f>IFERROR(__xludf.DUMMYFUNCTION("""COMPUTED_VALUE"""),665.67)</f>
        <v>665.67</v>
      </c>
      <c r="C204" s="18">
        <f>IFERROR(__xludf.DUMMYFUNCTION("IFERROR(VLOOKUP($A204, GOOGLEFINANCE(C$1, ""price"", $A$2, TODAY()), 2, FALSE), """")"),141.82)</f>
        <v>141.82</v>
      </c>
      <c r="D204" s="18">
        <f>IFERROR(__xludf.DUMMYFUNCTION("IFERROR(VLOOKUP($A204, GOOGLEFINANCE(D$1, ""price"", $A$2, TODAY()), 2, FALSE), """")"),114.36)</f>
        <v>114.36</v>
      </c>
      <c r="E204" s="18">
        <f>IFERROR(__xludf.DUMMYFUNCTION("IFERROR(VLOOKUP($A204, GOOGLEFINANCE(E$1, ""price"", $A$2, TODAY()), 2, FALSE), """")"),51.45)</f>
        <v>51.45</v>
      </c>
      <c r="F204" s="18">
        <f>IFERROR(__xludf.DUMMYFUNCTION("IFERROR(VLOOKUP($A204, GOOGLEFINANCE(F$1, ""price"", $A$2, TODAY()), 2, FALSE), """")"),111.18)</f>
        <v>111.18</v>
      </c>
      <c r="G204" s="18">
        <f>IFERROR(__xludf.DUMMYFUNCTION("IFERROR(VLOOKUP($A204, GOOGLEFINANCE(G$1, ""price"", $A$2, TODAY()), 2, FALSE), """")"),151.7)</f>
        <v>151.7</v>
      </c>
      <c r="H204" s="18">
        <f>IFERROR(__xludf.DUMMYFUNCTION("IFERROR(VLOOKUP($A204, GOOGLEFINANCE(H$1, ""price"", $A$2, TODAY()), 2, FALSE), """")"),76.77)</f>
        <v>76.77</v>
      </c>
      <c r="I204" s="18">
        <f>IFERROR(__xludf.DUMMYFUNCTION("IFERROR(VLOOKUP($A204, GOOGLEFINANCE(I$1, ""price"", $A$2, TODAY()), 2, FALSE), """")"),150.52)</f>
        <v>150.52</v>
      </c>
      <c r="J204" s="18">
        <f>IFERROR(__xludf.DUMMYFUNCTION("IFERROR(VLOOKUP($A204, GOOGLEFINANCE(J$1, ""price"", $A$2, TODAY()), 2, FALSE), """")"),45.17)</f>
        <v>45.17</v>
      </c>
      <c r="K204" s="18">
        <f>IFERROR(__xludf.DUMMYFUNCTION("IFERROR(VLOOKUP($A204, GOOGLEFINANCE(K$1, ""price"", $A$2, TODAY()), 2, FALSE), """")"),42.73)</f>
        <v>42.73</v>
      </c>
      <c r="L204" s="18">
        <f>IFERROR(__xludf.DUMMYFUNCTION("IFERROR(VLOOKUP($A204, GOOGLEFINANCE(L$1, ""price"", $A$2, TODAY()), 2, FALSE), """")"),44.78)</f>
        <v>44.78</v>
      </c>
      <c r="M204" s="196">
        <f>IFERROR(__xludf.DUMMYFUNCTION("IFERROR(VLOOKUP($A204, GOOGLEFINANCE(M$1, ""price"", $A$2, TODAY()), 2, FALSE), """")"),40.68)</f>
        <v>40.68</v>
      </c>
      <c r="O204" s="18">
        <v>0.21304850751874052</v>
      </c>
      <c r="P204" s="18">
        <v>0.171796836270224</v>
      </c>
      <c r="Q204" s="18">
        <v>0.07729054937131012</v>
      </c>
      <c r="R204" s="18">
        <v>0.1670196944431926</v>
      </c>
      <c r="S204" s="18">
        <v>0.22789069659140415</v>
      </c>
      <c r="T204" s="18">
        <v>0.11532741448465456</v>
      </c>
      <c r="U204" s="18">
        <v>0.22611804647948686</v>
      </c>
      <c r="V204" s="18">
        <v>0.06785644538585185</v>
      </c>
      <c r="W204" s="18">
        <v>0.06419096549341265</v>
      </c>
      <c r="X204" s="18">
        <v>0.0672705695014046</v>
      </c>
      <c r="Y204" s="196">
        <v>0.06111136148542071</v>
      </c>
      <c r="AA204" s="18">
        <v>0.018748147536699067</v>
      </c>
      <c r="AB204" s="18">
        <v>0.005476092411927924</v>
      </c>
      <c r="AC204" s="18">
        <v>-0.003921582557791181</v>
      </c>
      <c r="AD204" s="18">
        <v>-0.011670823245764295</v>
      </c>
      <c r="AE204" s="18">
        <v>-0.018437810565698043</v>
      </c>
      <c r="AF204" s="18">
        <v>0.001596128419779852</v>
      </c>
      <c r="AG204" s="18">
        <v>0.008079474814848275</v>
      </c>
      <c r="AH204" s="18">
        <v>0.01766406644720142</v>
      </c>
      <c r="AI204" s="18">
        <v>-0.007710948811607943</v>
      </c>
      <c r="AJ204" s="18">
        <v>0.009103812083317786</v>
      </c>
      <c r="AK204" s="18">
        <v>-0.002270489107778606</v>
      </c>
    </row>
    <row r="205">
      <c r="A205" s="230">
        <f>IFERROR(__xludf.DUMMYFUNCTION("""COMPUTED_VALUE"""),45979.66666666667)</f>
        <v>45979.66667</v>
      </c>
      <c r="B205" s="18">
        <f>IFERROR(__xludf.DUMMYFUNCTION("""COMPUTED_VALUE"""),660.08)</f>
        <v>660.08</v>
      </c>
      <c r="C205" s="18">
        <f>IFERROR(__xludf.DUMMYFUNCTION("IFERROR(VLOOKUP($A205, GOOGLEFINANCE(C$1, ""price"", $A$2, TODAY()), 2, FALSE), """")"),139.51)</f>
        <v>139.51</v>
      </c>
      <c r="D205" s="18">
        <f>IFERROR(__xludf.DUMMYFUNCTION("IFERROR(VLOOKUP($A205, GOOGLEFINANCE(D$1, ""price"", $A$2, TODAY()), 2, FALSE), """")"),112.25)</f>
        <v>112.25</v>
      </c>
      <c r="E205" s="18">
        <f>IFERROR(__xludf.DUMMYFUNCTION("IFERROR(VLOOKUP($A205, GOOGLEFINANCE(E$1, ""price"", $A$2, TODAY()), 2, FALSE), """")"),51.37)</f>
        <v>51.37</v>
      </c>
      <c r="F205" s="18">
        <f>IFERROR(__xludf.DUMMYFUNCTION("IFERROR(VLOOKUP($A205, GOOGLEFINANCE(F$1, ""price"", $A$2, TODAY()), 2, FALSE), """")"),111.81)</f>
        <v>111.81</v>
      </c>
      <c r="G205" s="18">
        <f>IFERROR(__xludf.DUMMYFUNCTION("IFERROR(VLOOKUP($A205, GOOGLEFINANCE(G$1, ""price"", $A$2, TODAY()), 2, FALSE), """")"),152.59)</f>
        <v>152.59</v>
      </c>
      <c r="H205" s="18">
        <f>IFERROR(__xludf.DUMMYFUNCTION("IFERROR(VLOOKUP($A205, GOOGLEFINANCE(H$1, ""price"", $A$2, TODAY()), 2, FALSE), """")"),77.1)</f>
        <v>77.1</v>
      </c>
      <c r="I205" s="18">
        <f>IFERROR(__xludf.DUMMYFUNCTION("IFERROR(VLOOKUP($A205, GOOGLEFINANCE(I$1, ""price"", $A$2, TODAY()), 2, FALSE), """")"),149.85)</f>
        <v>149.85</v>
      </c>
      <c r="J205" s="18">
        <f>IFERROR(__xludf.DUMMYFUNCTION("IFERROR(VLOOKUP($A205, GOOGLEFINANCE(J$1, ""price"", $A$2, TODAY()), 2, FALSE), """")"),45.53)</f>
        <v>45.53</v>
      </c>
      <c r="K205" s="18">
        <f>IFERROR(__xludf.DUMMYFUNCTION("IFERROR(VLOOKUP($A205, GOOGLEFINANCE(K$1, ""price"", $A$2, TODAY()), 2, FALSE), """")"),42.76)</f>
        <v>42.76</v>
      </c>
      <c r="L205" s="18">
        <f>IFERROR(__xludf.DUMMYFUNCTION("IFERROR(VLOOKUP($A205, GOOGLEFINANCE(L$1, ""price"", $A$2, TODAY()), 2, FALSE), """")"),44.61)</f>
        <v>44.61</v>
      </c>
      <c r="M205" s="196">
        <f>IFERROR(__xludf.DUMMYFUNCTION("IFERROR(VLOOKUP($A205, GOOGLEFINANCE(M$1, ""price"", $A$2, TODAY()), 2, FALSE), """")"),40.83)</f>
        <v>40.83</v>
      </c>
      <c r="O205" s="18">
        <v>0.21135316931281053</v>
      </c>
      <c r="P205" s="18">
        <v>0.17005514483092957</v>
      </c>
      <c r="Q205" s="18">
        <v>0.07782390013331716</v>
      </c>
      <c r="R205" s="18">
        <v>0.16938855896254998</v>
      </c>
      <c r="S205" s="18">
        <v>0.23116894921827658</v>
      </c>
      <c r="T205" s="18">
        <v>0.11680402375469638</v>
      </c>
      <c r="U205" s="18">
        <v>0.22701793721973093</v>
      </c>
      <c r="V205" s="18">
        <v>0.06897648769846079</v>
      </c>
      <c r="W205" s="18">
        <v>0.06478002666343473</v>
      </c>
      <c r="X205" s="18">
        <v>0.06758271724639438</v>
      </c>
      <c r="Y205" s="196">
        <v>0.061856138649860615</v>
      </c>
      <c r="AA205" s="18">
        <v>0.017382987588485888</v>
      </c>
      <c r="AB205" s="18">
        <v>-0.016361406480085106</v>
      </c>
      <c r="AC205" s="18">
        <v>-1.3914982885898652E-4</v>
      </c>
      <c r="AD205" s="18">
        <v>3.5577489851701394E-4</v>
      </c>
      <c r="AE205" s="18">
        <v>-0.017171606088549174</v>
      </c>
      <c r="AF205" s="18">
        <v>0.010057034523381247</v>
      </c>
      <c r="AG205" s="18">
        <v>0.008699631266869234</v>
      </c>
      <c r="AH205" s="18">
        <v>0.050790086351049535</v>
      </c>
      <c r="AI205" s="18">
        <v>-0.0041490868059277375</v>
      </c>
      <c r="AJ205" s="18">
        <v>0.02723904065888627</v>
      </c>
      <c r="AK205" s="18">
        <v>0.011240753485805666</v>
      </c>
    </row>
    <row r="206">
      <c r="A206" s="230">
        <f>IFERROR(__xludf.DUMMYFUNCTION("""COMPUTED_VALUE"""),45980.66666666667)</f>
        <v>45980.66667</v>
      </c>
      <c r="B206" s="18">
        <f>IFERROR(__xludf.DUMMYFUNCTION("""COMPUTED_VALUE"""),662.63)</f>
        <v>662.63</v>
      </c>
      <c r="C206" s="18">
        <f>IFERROR(__xludf.DUMMYFUNCTION("IFERROR(VLOOKUP($A206, GOOGLEFINANCE(C$1, ""price"", $A$2, TODAY()), 2, FALSE), """")"),140.49)</f>
        <v>140.49</v>
      </c>
      <c r="D206" s="18">
        <f>IFERROR(__xludf.DUMMYFUNCTION("IFERROR(VLOOKUP($A206, GOOGLEFINANCE(D$1, ""price"", $A$2, TODAY()), 2, FALSE), """")"),112.26)</f>
        <v>112.26</v>
      </c>
      <c r="E206" s="18">
        <f>IFERROR(__xludf.DUMMYFUNCTION("IFERROR(VLOOKUP($A206, GOOGLEFINANCE(E$1, ""price"", $A$2, TODAY()), 2, FALSE), """")"),51.56)</f>
        <v>51.56</v>
      </c>
      <c r="F206" s="18">
        <f>IFERROR(__xludf.DUMMYFUNCTION("IFERROR(VLOOKUP($A206, GOOGLEFINANCE(F$1, ""price"", $A$2, TODAY()), 2, FALSE), """")"),111.19)</f>
        <v>111.19</v>
      </c>
      <c r="G206" s="18">
        <f>IFERROR(__xludf.DUMMYFUNCTION("IFERROR(VLOOKUP($A206, GOOGLEFINANCE(G$1, ""price"", $A$2, TODAY()), 2, FALSE), """")"),152.33)</f>
        <v>152.33</v>
      </c>
      <c r="H206" s="18">
        <f>IFERROR(__xludf.DUMMYFUNCTION("IFERROR(VLOOKUP($A206, GOOGLEFINANCE(H$1, ""price"", $A$2, TODAY()), 2, FALSE), """")"),76.51)</f>
        <v>76.51</v>
      </c>
      <c r="I206" s="18">
        <f>IFERROR(__xludf.DUMMYFUNCTION("IFERROR(VLOOKUP($A206, GOOGLEFINANCE(I$1, ""price"", $A$2, TODAY()), 2, FALSE), """")"),150.35)</f>
        <v>150.35</v>
      </c>
      <c r="J206" s="18">
        <f>IFERROR(__xludf.DUMMYFUNCTION("IFERROR(VLOOKUP($A206, GOOGLEFINANCE(J$1, ""price"", $A$2, TODAY()), 2, FALSE), """")"),44.94)</f>
        <v>44.94</v>
      </c>
      <c r="K206" s="18">
        <f>IFERROR(__xludf.DUMMYFUNCTION("IFERROR(VLOOKUP($A206, GOOGLEFINANCE(K$1, ""price"", $A$2, TODAY()), 2, FALSE), """")"),42.87)</f>
        <v>42.87</v>
      </c>
      <c r="L206" s="18">
        <f>IFERROR(__xludf.DUMMYFUNCTION("IFERROR(VLOOKUP($A206, GOOGLEFINANCE(L$1, ""price"", $A$2, TODAY()), 2, FALSE), """")"),44.24)</f>
        <v>44.24</v>
      </c>
      <c r="M206" s="196">
        <f>IFERROR(__xludf.DUMMYFUNCTION("IFERROR(VLOOKUP($A206, GOOGLEFINANCE(M$1, ""price"", $A$2, TODAY()), 2, FALSE), """")"),40.51)</f>
        <v>40.51</v>
      </c>
      <c r="O206" s="18">
        <v>0.2120187736745997</v>
      </c>
      <c r="P206" s="18">
        <v>0.16941581274617812</v>
      </c>
      <c r="Q206" s="18">
        <v>0.07781114649200913</v>
      </c>
      <c r="R206" s="18">
        <v>0.16780103526855109</v>
      </c>
      <c r="S206" s="18">
        <v>0.22988696557656613</v>
      </c>
      <c r="T206" s="18">
        <v>0.11546413533948056</v>
      </c>
      <c r="U206" s="18">
        <v>0.22689887267404132</v>
      </c>
      <c r="V206" s="18">
        <v>0.06782065406033533</v>
      </c>
      <c r="W206" s="18">
        <v>0.06469673875315032</v>
      </c>
      <c r="X206" s="18">
        <v>0.06676425757964476</v>
      </c>
      <c r="Y206" s="196">
        <v>0.0611351734753935</v>
      </c>
      <c r="AA206" s="18">
        <v>0.01561012115830529</v>
      </c>
      <c r="AB206" s="18">
        <v>-0.02001242887385246</v>
      </c>
      <c r="AC206" s="18">
        <v>-0.0011958442362841604</v>
      </c>
      <c r="AD206" s="18">
        <v>-0.0035732338692224808</v>
      </c>
      <c r="AE206" s="18">
        <v>-0.013700462295919258</v>
      </c>
      <c r="AF206" s="18">
        <v>-0.005466182897755134</v>
      </c>
      <c r="AG206" s="18">
        <v>0.009284200124950015</v>
      </c>
      <c r="AH206" s="18">
        <v>0.03262415214446035</v>
      </c>
      <c r="AI206" s="18">
        <v>-0.010729372424269967</v>
      </c>
      <c r="AJ206" s="18">
        <v>0.008407346482954381</v>
      </c>
      <c r="AK206" s="18">
        <v>0.0019858863697963525</v>
      </c>
    </row>
    <row r="207">
      <c r="A207" s="230">
        <f>IFERROR(__xludf.DUMMYFUNCTION("""COMPUTED_VALUE"""),45981.66666666667)</f>
        <v>45981.66667</v>
      </c>
      <c r="B207" s="18">
        <f>IFERROR(__xludf.DUMMYFUNCTION("""COMPUTED_VALUE"""),652.53)</f>
        <v>652.53</v>
      </c>
      <c r="C207" s="18">
        <f>IFERROR(__xludf.DUMMYFUNCTION("IFERROR(VLOOKUP($A207, GOOGLEFINANCE(C$1, ""price"", $A$2, TODAY()), 2, FALSE), """")"),136.07)</f>
        <v>136.07</v>
      </c>
      <c r="D207" s="18">
        <f>IFERROR(__xludf.DUMMYFUNCTION("IFERROR(VLOOKUP($A207, GOOGLEFINANCE(D$1, ""price"", $A$2, TODAY()), 2, FALSE), """")"),110.58)</f>
        <v>110.58</v>
      </c>
      <c r="E207" s="18">
        <f>IFERROR(__xludf.DUMMYFUNCTION("IFERROR(VLOOKUP($A207, GOOGLEFINANCE(E$1, ""price"", $A$2, TODAY()), 2, FALSE), """")"),51.11)</f>
        <v>51.11</v>
      </c>
      <c r="F207" s="18">
        <f>IFERROR(__xludf.DUMMYFUNCTION("IFERROR(VLOOKUP($A207, GOOGLEFINANCE(F$1, ""price"", $A$2, TODAY()), 2, FALSE), """")"),109.97)</f>
        <v>109.97</v>
      </c>
      <c r="G207" s="18">
        <f>IFERROR(__xludf.DUMMYFUNCTION("IFERROR(VLOOKUP($A207, GOOGLEFINANCE(G$1, ""price"", $A$2, TODAY()), 2, FALSE), """")"),151.42)</f>
        <v>151.42</v>
      </c>
      <c r="H207" s="18">
        <f>IFERROR(__xludf.DUMMYFUNCTION("IFERROR(VLOOKUP($A207, GOOGLEFINANCE(H$1, ""price"", $A$2, TODAY()), 2, FALSE), """")"),77.06)</f>
        <v>77.06</v>
      </c>
      <c r="I207" s="18">
        <f>IFERROR(__xludf.DUMMYFUNCTION("IFERROR(VLOOKUP($A207, GOOGLEFINANCE(I$1, ""price"", $A$2, TODAY()), 2, FALSE), """")"),147.83)</f>
        <v>147.83</v>
      </c>
      <c r="J207" s="18">
        <f>IFERROR(__xludf.DUMMYFUNCTION("IFERROR(VLOOKUP($A207, GOOGLEFINANCE(J$1, ""price"", $A$2, TODAY()), 2, FALSE), """")"),44.43)</f>
        <v>44.43</v>
      </c>
      <c r="K207" s="18">
        <f>IFERROR(__xludf.DUMMYFUNCTION("IFERROR(VLOOKUP($A207, GOOGLEFINANCE(K$1, ""price"", $A$2, TODAY()), 2, FALSE), """")"),42.23)</f>
        <v>42.23</v>
      </c>
      <c r="L207" s="18">
        <f>IFERROR(__xludf.DUMMYFUNCTION("IFERROR(VLOOKUP($A207, GOOGLEFINANCE(L$1, ""price"", $A$2, TODAY()), 2, FALSE), """")"),44.01)</f>
        <v>44.01</v>
      </c>
      <c r="M207" s="196">
        <f>IFERROR(__xludf.DUMMYFUNCTION("IFERROR(VLOOKUP($A207, GOOGLEFINANCE(M$1, ""price"", $A$2, TODAY()), 2, FALSE), """")"),40.37)</f>
        <v>40.37</v>
      </c>
      <c r="O207" s="18">
        <v>0.20852681102784545</v>
      </c>
      <c r="P207" s="18">
        <v>0.1694634729437727</v>
      </c>
      <c r="Q207" s="18">
        <v>0.07832590072487089</v>
      </c>
      <c r="R207" s="18">
        <v>0.1685286500237537</v>
      </c>
      <c r="S207" s="18">
        <v>0.23205063368734002</v>
      </c>
      <c r="T207" s="18">
        <v>0.1180941872404334</v>
      </c>
      <c r="U207" s="18">
        <v>0.2265489709285397</v>
      </c>
      <c r="V207" s="18">
        <v>0.06808882350236771</v>
      </c>
      <c r="W207" s="18">
        <v>0.06471733100393852</v>
      </c>
      <c r="X207" s="18">
        <v>0.06744517493448578</v>
      </c>
      <c r="Y207" s="196">
        <v>0.06186688734617565</v>
      </c>
      <c r="AA207" s="18">
        <v>-0.004226557275387566</v>
      </c>
      <c r="AB207" s="18">
        <v>-0.020471599635922932</v>
      </c>
      <c r="AC207" s="18">
        <v>0.0036965553416372643</v>
      </c>
      <c r="AD207" s="18">
        <v>-0.0018996954698584645</v>
      </c>
      <c r="AE207" s="18">
        <v>0.005906010501689041</v>
      </c>
      <c r="AF207" s="18">
        <v>0.016812229031621273</v>
      </c>
      <c r="AG207" s="18">
        <v>0.007360929421919016</v>
      </c>
      <c r="AH207" s="18">
        <v>0.02876898282739493</v>
      </c>
      <c r="AI207" s="18">
        <v>-0.01057769944560305</v>
      </c>
      <c r="AJ207" s="18">
        <v>0.017020258130587607</v>
      </c>
      <c r="AK207" s="18">
        <v>0.014619921850323347</v>
      </c>
    </row>
    <row r="208">
      <c r="A208" s="230">
        <f>IFERROR(__xludf.DUMMYFUNCTION("""COMPUTED_VALUE"""),45982.66666666667)</f>
        <v>45982.66667</v>
      </c>
      <c r="B208" s="18">
        <f>IFERROR(__xludf.DUMMYFUNCTION("""COMPUTED_VALUE"""),659.03)</f>
        <v>659.03</v>
      </c>
      <c r="C208" s="18">
        <f>IFERROR(__xludf.DUMMYFUNCTION("IFERROR(VLOOKUP($A208, GOOGLEFINANCE(C$1, ""price"", $A$2, TODAY()), 2, FALSE), """")"),136.6)</f>
        <v>136.6</v>
      </c>
      <c r="D208" s="18">
        <f>IFERROR(__xludf.DUMMYFUNCTION("IFERROR(VLOOKUP($A208, GOOGLEFINANCE(D$1, ""price"", $A$2, TODAY()), 2, FALSE), """")"),112.75)</f>
        <v>112.75</v>
      </c>
      <c r="E208" s="18">
        <f>IFERROR(__xludf.DUMMYFUNCTION("IFERROR(VLOOKUP($A208, GOOGLEFINANCE(E$1, ""price"", $A$2, TODAY()), 2, FALSE), """")"),51.67)</f>
        <v>51.67</v>
      </c>
      <c r="F208" s="18">
        <f>IFERROR(__xludf.DUMMYFUNCTION("IFERROR(VLOOKUP($A208, GOOGLEFINANCE(F$1, ""price"", $A$2, TODAY()), 2, FALSE), """")"),111.9)</f>
        <v>111.9</v>
      </c>
      <c r="G208" s="18">
        <f>IFERROR(__xludf.DUMMYFUNCTION("IFERROR(VLOOKUP($A208, GOOGLEFINANCE(G$1, ""price"", $A$2, TODAY()), 2, FALSE), """")"),154.61)</f>
        <v>154.61</v>
      </c>
      <c r="H208" s="18">
        <f>IFERROR(__xludf.DUMMYFUNCTION("IFERROR(VLOOKUP($A208, GOOGLEFINANCE(H$1, ""price"", $A$2, TODAY()), 2, FALSE), """")"),77.9)</f>
        <v>77.9</v>
      </c>
      <c r="I208" s="18">
        <f>IFERROR(__xludf.DUMMYFUNCTION("IFERROR(VLOOKUP($A208, GOOGLEFINANCE(I$1, ""price"", $A$2, TODAY()), 2, FALSE), """")"),149.63)</f>
        <v>149.63</v>
      </c>
      <c r="J208" s="18">
        <f>IFERROR(__xludf.DUMMYFUNCTION("IFERROR(VLOOKUP($A208, GOOGLEFINANCE(J$1, ""price"", $A$2, TODAY()), 2, FALSE), """")"),44.71)</f>
        <v>44.71</v>
      </c>
      <c r="K208" s="18">
        <f>IFERROR(__xludf.DUMMYFUNCTION("IFERROR(VLOOKUP($A208, GOOGLEFINANCE(K$1, ""price"", $A$2, TODAY()), 2, FALSE), """")"),43.18)</f>
        <v>43.18</v>
      </c>
      <c r="L208" s="18">
        <f>IFERROR(__xludf.DUMMYFUNCTION("IFERROR(VLOOKUP($A208, GOOGLEFINANCE(L$1, ""price"", $A$2, TODAY()), 2, FALSE), """")"),44.08)</f>
        <v>44.08</v>
      </c>
      <c r="M208" s="196">
        <f>IFERROR(__xludf.DUMMYFUNCTION("IFERROR(VLOOKUP($A208, GOOGLEFINANCE(M$1, ""price"", $A$2, TODAY()), 2, FALSE), """")"),40.9)</f>
        <v>40.9</v>
      </c>
      <c r="O208" s="18">
        <v>0.207274327420603</v>
      </c>
      <c r="P208" s="18">
        <v>0.171084776110344</v>
      </c>
      <c r="Q208" s="18">
        <v>0.0784031075975297</v>
      </c>
      <c r="R208" s="18">
        <v>0.16979500174498885</v>
      </c>
      <c r="S208" s="18">
        <v>0.23460237015006907</v>
      </c>
      <c r="T208" s="18">
        <v>0.11820402713078314</v>
      </c>
      <c r="U208" s="18">
        <v>0.22704580975069422</v>
      </c>
      <c r="V208" s="18">
        <v>0.06784213161768053</v>
      </c>
      <c r="W208" s="18">
        <v>0.06552053776004127</v>
      </c>
      <c r="X208" s="18">
        <v>0.06688618120571142</v>
      </c>
      <c r="Y208" s="196">
        <v>0.06206090769767689</v>
      </c>
      <c r="AA208" s="18">
        <v>-0.015208082732130257</v>
      </c>
      <c r="AB208" s="18">
        <v>-0.016197458625665906</v>
      </c>
      <c r="AC208" s="18">
        <v>0.00841902071037115</v>
      </c>
      <c r="AD208" s="18">
        <v>0.005715679904776394</v>
      </c>
      <c r="AE208" s="18">
        <v>0.027709152823668592</v>
      </c>
      <c r="AF208" s="18">
        <v>0.014133604947128786</v>
      </c>
      <c r="AG208" s="18">
        <v>0.019892056253993262</v>
      </c>
      <c r="AH208" s="18">
        <v>0.010752669197537035</v>
      </c>
      <c r="AI208" s="18">
        <v>-4.113877097271512E-4</v>
      </c>
      <c r="AJ208" s="18">
        <v>0.02803123562605747</v>
      </c>
      <c r="AK208" s="18">
        <v>0.027456161584294314</v>
      </c>
    </row>
    <row r="209">
      <c r="A209" s="230">
        <f>IFERROR(__xludf.DUMMYFUNCTION("""COMPUTED_VALUE"""),45985.66666666667)</f>
        <v>45985.66667</v>
      </c>
      <c r="B209" s="18">
        <f>IFERROR(__xludf.DUMMYFUNCTION("""COMPUTED_VALUE"""),668.73)</f>
        <v>668.73</v>
      </c>
      <c r="C209" s="18">
        <f>IFERROR(__xludf.DUMMYFUNCTION("IFERROR(VLOOKUP($A209, GOOGLEFINANCE(C$1, ""price"", $A$2, TODAY()), 2, FALSE), """")"),139.85)</f>
        <v>139.85</v>
      </c>
      <c r="D209" s="18">
        <f>IFERROR(__xludf.DUMMYFUNCTION("IFERROR(VLOOKUP($A209, GOOGLEFINANCE(D$1, ""price"", $A$2, TODAY()), 2, FALSE), """")"),114.26)</f>
        <v>114.26</v>
      </c>
      <c r="E209" s="18">
        <f>IFERROR(__xludf.DUMMYFUNCTION("IFERROR(VLOOKUP($A209, GOOGLEFINANCE(E$1, ""price"", $A$2, TODAY()), 2, FALSE), """")"),51.89)</f>
        <v>51.89</v>
      </c>
      <c r="F209" s="18">
        <f>IFERROR(__xludf.DUMMYFUNCTION("IFERROR(VLOOKUP($A209, GOOGLEFINANCE(F$1, ""price"", $A$2, TODAY()), 2, FALSE), """")"),113.01)</f>
        <v>113.01</v>
      </c>
      <c r="G209" s="18">
        <f>IFERROR(__xludf.DUMMYFUNCTION("IFERROR(VLOOKUP($A209, GOOGLEFINANCE(G$1, ""price"", $A$2, TODAY()), 2, FALSE), """")"),155.26)</f>
        <v>155.26</v>
      </c>
      <c r="H209" s="18">
        <f>IFERROR(__xludf.DUMMYFUNCTION("IFERROR(VLOOKUP($A209, GOOGLEFINANCE(H$1, ""price"", $A$2, TODAY()), 2, FALSE), """")"),77.0)</f>
        <v>77</v>
      </c>
      <c r="I209" s="18">
        <f>IFERROR(__xludf.DUMMYFUNCTION("IFERROR(VLOOKUP($A209, GOOGLEFINANCE(I$1, ""price"", $A$2, TODAY()), 2, FALSE), """")"),150.0)</f>
        <v>150</v>
      </c>
      <c r="J209" s="18">
        <f>IFERROR(__xludf.DUMMYFUNCTION("IFERROR(VLOOKUP($A209, GOOGLEFINANCE(J$1, ""price"", $A$2, TODAY()), 2, FALSE), """")"),44.59)</f>
        <v>44.59</v>
      </c>
      <c r="K209" s="18">
        <f>IFERROR(__xludf.DUMMYFUNCTION("IFERROR(VLOOKUP($A209, GOOGLEFINANCE(K$1, ""price"", $A$2, TODAY()), 2, FALSE), """")"),43.26)</f>
        <v>43.26</v>
      </c>
      <c r="L209" s="18">
        <f>IFERROR(__xludf.DUMMYFUNCTION("IFERROR(VLOOKUP($A209, GOOGLEFINANCE(L$1, ""price"", $A$2, TODAY()), 2, FALSE), """")"),44.58)</f>
        <v>44.58</v>
      </c>
      <c r="M209" s="196">
        <f>IFERROR(__xludf.DUMMYFUNCTION("IFERROR(VLOOKUP($A209, GOOGLEFINANCE(M$1, ""price"", $A$2, TODAY()), 2, FALSE), """")"),40.96)</f>
        <v>40.96</v>
      </c>
      <c r="O209" s="18">
        <v>0.20912774961494174</v>
      </c>
      <c r="P209" s="18">
        <v>0.17086118463355915</v>
      </c>
      <c r="Q209" s="18">
        <v>0.07759484395795015</v>
      </c>
      <c r="R209" s="18">
        <v>0.16899196985330403</v>
      </c>
      <c r="S209" s="18">
        <v>0.23217142942592672</v>
      </c>
      <c r="T209" s="18">
        <v>0.1151436304637148</v>
      </c>
      <c r="U209" s="18">
        <v>0.22430577363061324</v>
      </c>
      <c r="V209" s="18">
        <v>0.0666786296412603</v>
      </c>
      <c r="W209" s="18">
        <v>0.06468978511506886</v>
      </c>
      <c r="X209" s="18">
        <v>0.06666367592301825</v>
      </c>
      <c r="Y209" s="196">
        <v>0.06125042991939946</v>
      </c>
      <c r="AA209" s="18">
        <v>-0.01467794541948686</v>
      </c>
      <c r="AB209" s="18">
        <v>-0.014997266424382039</v>
      </c>
      <c r="AC209" s="18">
        <v>8.178274538561681E-4</v>
      </c>
      <c r="AD209" s="18">
        <v>-4.938191953285376E-4</v>
      </c>
      <c r="AE209" s="18">
        <v>0.025082886088700684</v>
      </c>
      <c r="AF209" s="18">
        <v>-0.003759826457591098</v>
      </c>
      <c r="AG209" s="18">
        <v>7.273756380716812E-4</v>
      </c>
      <c r="AH209" s="18">
        <v>0.00828680850694763</v>
      </c>
      <c r="AI209" s="18">
        <v>-0.002307552625641973</v>
      </c>
      <c r="AJ209" s="18">
        <v>0.03398486690520319</v>
      </c>
      <c r="AK209" s="18">
        <v>0.01839486467353768</v>
      </c>
    </row>
    <row r="210">
      <c r="A210" s="230">
        <f>IFERROR(__xludf.DUMMYFUNCTION("""COMPUTED_VALUE"""),45986.66666666667)</f>
        <v>45986.66667</v>
      </c>
      <c r="B210" s="18">
        <f>IFERROR(__xludf.DUMMYFUNCTION("""COMPUTED_VALUE"""),675.02)</f>
        <v>675.02</v>
      </c>
      <c r="C210" s="18">
        <f>IFERROR(__xludf.DUMMYFUNCTION("IFERROR(VLOOKUP($A210, GOOGLEFINANCE(C$1, ""price"", $A$2, TODAY()), 2, FALSE), """")"),140.23)</f>
        <v>140.23</v>
      </c>
      <c r="D210" s="18">
        <f>IFERROR(__xludf.DUMMYFUNCTION("IFERROR(VLOOKUP($A210, GOOGLEFINANCE(D$1, ""price"", $A$2, TODAY()), 2, FALSE), """")"),116.7)</f>
        <v>116.7</v>
      </c>
      <c r="E210" s="18">
        <f>IFERROR(__xludf.DUMMYFUNCTION("IFERROR(VLOOKUP($A210, GOOGLEFINANCE(E$1, ""price"", $A$2, TODAY()), 2, FALSE), """")"),52.54)</f>
        <v>52.54</v>
      </c>
      <c r="F210" s="18">
        <f>IFERROR(__xludf.DUMMYFUNCTION("IFERROR(VLOOKUP($A210, GOOGLEFINANCE(F$1, ""price"", $A$2, TODAY()), 2, FALSE), """")"),114.3)</f>
        <v>114.3</v>
      </c>
      <c r="G210" s="18">
        <f>IFERROR(__xludf.DUMMYFUNCTION("IFERROR(VLOOKUP($A210, GOOGLEFINANCE(G$1, ""price"", $A$2, TODAY()), 2, FALSE), """")"),158.77)</f>
        <v>158.77</v>
      </c>
      <c r="H210" s="18">
        <f>IFERROR(__xludf.DUMMYFUNCTION("IFERROR(VLOOKUP($A210, GOOGLEFINANCE(H$1, ""price"", $A$2, TODAY()), 2, FALSE), """")"),78.06)</f>
        <v>78.06</v>
      </c>
      <c r="I210" s="18">
        <f>IFERROR(__xludf.DUMMYFUNCTION("IFERROR(VLOOKUP($A210, GOOGLEFINANCE(I$1, ""price"", $A$2, TODAY()), 2, FALSE), """")"),151.92)</f>
        <v>151.92</v>
      </c>
      <c r="J210" s="18">
        <f>IFERROR(__xludf.DUMMYFUNCTION("IFERROR(VLOOKUP($A210, GOOGLEFINANCE(J$1, ""price"", $A$2, TODAY()), 2, FALSE), """")"),44.31)</f>
        <v>44.31</v>
      </c>
      <c r="K210" s="18">
        <f>IFERROR(__xludf.DUMMYFUNCTION("IFERROR(VLOOKUP($A210, GOOGLEFINANCE(K$1, ""price"", $A$2, TODAY()), 2, FALSE), """")"),43.91)</f>
        <v>43.91</v>
      </c>
      <c r="L210" s="18">
        <f>IFERROR(__xludf.DUMMYFUNCTION("IFERROR(VLOOKUP($A210, GOOGLEFINANCE(L$1, ""price"", $A$2, TODAY()), 2, FALSE), """")"),44.41)</f>
        <v>44.41</v>
      </c>
      <c r="M210" s="196">
        <f>IFERROR(__xludf.DUMMYFUNCTION("IFERROR(VLOOKUP($A210, GOOGLEFINANCE(M$1, ""price"", $A$2, TODAY()), 2, FALSE), """")"),41.29)</f>
        <v>41.29</v>
      </c>
      <c r="O210" s="18">
        <v>0.20774199282984207</v>
      </c>
      <c r="P210" s="18">
        <v>0.1728837664069213</v>
      </c>
      <c r="Q210" s="18">
        <v>0.07783473082279044</v>
      </c>
      <c r="R210" s="18">
        <v>0.16932831619803856</v>
      </c>
      <c r="S210" s="18">
        <v>0.23520784569346095</v>
      </c>
      <c r="T210" s="18">
        <v>0.11564101804390982</v>
      </c>
      <c r="U210" s="18">
        <v>0.22505999822227488</v>
      </c>
      <c r="V210" s="18">
        <v>0.06564249948149685</v>
      </c>
      <c r="W210" s="18">
        <v>0.06504992444668306</v>
      </c>
      <c r="X210" s="18">
        <v>0.06579064324020029</v>
      </c>
      <c r="Y210" s="196">
        <v>0.06116855796865278</v>
      </c>
      <c r="AA210" s="18">
        <v>-0.02018847257654699</v>
      </c>
      <c r="AB210" s="18">
        <v>-0.01059850202485857</v>
      </c>
      <c r="AC210" s="18">
        <v>-0.005968364847840357</v>
      </c>
      <c r="AD210" s="18">
        <v>0.005836377700656703</v>
      </c>
      <c r="AE210" s="18">
        <v>0.03724718591243881</v>
      </c>
      <c r="AF210" s="18">
        <v>0.0032441434739247654</v>
      </c>
      <c r="AG210" s="18">
        <v>-0.0019046612785711403</v>
      </c>
      <c r="AH210" s="18">
        <v>-0.0223813377525941</v>
      </c>
      <c r="AI210" s="18">
        <v>-2.9229595860491564E-4</v>
      </c>
      <c r="AJ210" s="18">
        <v>0.027250296930150242</v>
      </c>
      <c r="AK210" s="18">
        <v>0.018567448482638138</v>
      </c>
    </row>
    <row r="211">
      <c r="A211" s="230">
        <f>IFERROR(__xludf.DUMMYFUNCTION("""COMPUTED_VALUE"""),45987.66666666667)</f>
        <v>45987.66667</v>
      </c>
      <c r="B211" s="18">
        <f>IFERROR(__xludf.DUMMYFUNCTION("""COMPUTED_VALUE"""),679.68)</f>
        <v>679.68</v>
      </c>
      <c r="C211" s="18">
        <f>IFERROR(__xludf.DUMMYFUNCTION("IFERROR(VLOOKUP($A211, GOOGLEFINANCE(C$1, ""price"", $A$2, TODAY()), 2, FALSE), """")"),141.89)</f>
        <v>141.89</v>
      </c>
      <c r="D211" s="18">
        <f>IFERROR(__xludf.DUMMYFUNCTION("IFERROR(VLOOKUP($A211, GOOGLEFINANCE(D$1, ""price"", $A$2, TODAY()), 2, FALSE), """")"),117.5)</f>
        <v>117.5</v>
      </c>
      <c r="E211" s="18">
        <f>IFERROR(__xludf.DUMMYFUNCTION("IFERROR(VLOOKUP($A211, GOOGLEFINANCE(E$1, ""price"", $A$2, TODAY()), 2, FALSE), """")"),52.95)</f>
        <v>52.95</v>
      </c>
      <c r="F211" s="18">
        <f>IFERROR(__xludf.DUMMYFUNCTION("IFERROR(VLOOKUP($A211, GOOGLEFINANCE(F$1, ""price"", $A$2, TODAY()), 2, FALSE), """")"),114.46)</f>
        <v>114.46</v>
      </c>
      <c r="G211" s="18">
        <f>IFERROR(__xludf.DUMMYFUNCTION("IFERROR(VLOOKUP($A211, GOOGLEFINANCE(G$1, ""price"", $A$2, TODAY()), 2, FALSE), """")"),158.42)</f>
        <v>158.42</v>
      </c>
      <c r="H211" s="18">
        <f>IFERROR(__xludf.DUMMYFUNCTION("IFERROR(VLOOKUP($A211, GOOGLEFINANCE(H$1, ""price"", $A$2, TODAY()), 2, FALSE), """")"),78.91)</f>
        <v>78.91</v>
      </c>
      <c r="I211" s="18">
        <f>IFERROR(__xludf.DUMMYFUNCTION("IFERROR(VLOOKUP($A211, GOOGLEFINANCE(I$1, ""price"", $A$2, TODAY()), 2, FALSE), """")"),152.8)</f>
        <v>152.8</v>
      </c>
      <c r="J211" s="18">
        <f>IFERROR(__xludf.DUMMYFUNCTION("IFERROR(VLOOKUP($A211, GOOGLEFINANCE(J$1, ""price"", $A$2, TODAY()), 2, FALSE), """")"),44.64)</f>
        <v>44.64</v>
      </c>
      <c r="K211" s="18">
        <f>IFERROR(__xludf.DUMMYFUNCTION("IFERROR(VLOOKUP($A211, GOOGLEFINANCE(K$1, ""price"", $A$2, TODAY()), 2, FALSE), """")"),44.45)</f>
        <v>44.45</v>
      </c>
      <c r="L211" s="18">
        <f>IFERROR(__xludf.DUMMYFUNCTION("IFERROR(VLOOKUP($A211, GOOGLEFINANCE(L$1, ""price"", $A$2, TODAY()), 2, FALSE), """")"),45.0)</f>
        <v>45</v>
      </c>
      <c r="M211" s="196">
        <f>IFERROR(__xludf.DUMMYFUNCTION("IFERROR(VLOOKUP($A211, GOOGLEFINANCE(M$1, ""price"", $A$2, TODAY()), 2, FALSE), """")"),41.47)</f>
        <v>41.47</v>
      </c>
      <c r="O211" s="18">
        <v>0.2087600047080979</v>
      </c>
      <c r="P211" s="18">
        <v>0.17287547080979285</v>
      </c>
      <c r="Q211" s="18">
        <v>0.07790430790960454</v>
      </c>
      <c r="R211" s="18">
        <v>0.1684027777777778</v>
      </c>
      <c r="S211" s="18">
        <v>0.23308027306967985</v>
      </c>
      <c r="T211" s="18">
        <v>0.11609875235404897</v>
      </c>
      <c r="U211" s="18">
        <v>0.22481167608286257</v>
      </c>
      <c r="V211" s="18">
        <v>0.06567796610169492</v>
      </c>
      <c r="W211" s="18">
        <v>0.06539842278719399</v>
      </c>
      <c r="X211" s="18">
        <v>0.06620762711864407</v>
      </c>
      <c r="Y211" s="196">
        <v>0.0610140065913371</v>
      </c>
      <c r="AA211" s="18">
        <v>-0.018323075290812674</v>
      </c>
      <c r="AB211" s="18">
        <v>-0.006347161606499285</v>
      </c>
      <c r="AC211" s="18">
        <v>-0.006393416133912533</v>
      </c>
      <c r="AD211" s="18">
        <v>-0.004636176843135553</v>
      </c>
      <c r="AE211" s="18">
        <v>0.036502976518246744</v>
      </c>
      <c r="AF211" s="18">
        <v>0.012833972257330295</v>
      </c>
      <c r="AG211" s="18">
        <v>-0.007426211248627079</v>
      </c>
      <c r="AH211" s="18">
        <v>-0.02517147646196094</v>
      </c>
      <c r="AI211" s="18">
        <v>0.011709461377208186</v>
      </c>
      <c r="AJ211" s="18">
        <v>0.036646944034061324</v>
      </c>
      <c r="AK211" s="18">
        <v>0.01847258465963897</v>
      </c>
    </row>
    <row r="212">
      <c r="A212" s="230">
        <f>IFERROR(__xludf.DUMMYFUNCTION("""COMPUTED_VALUE"""),45989.55208333333)</f>
        <v>45989.55208</v>
      </c>
      <c r="B212" s="18">
        <f>IFERROR(__xludf.DUMMYFUNCTION("""COMPUTED_VALUE"""),683.39)</f>
        <v>683.39</v>
      </c>
      <c r="C212" s="18">
        <f>IFERROR(__xludf.DUMMYFUNCTION("IFERROR(VLOOKUP($A212, GOOGLEFINANCE(C$1, ""price"", $A$2, TODAY()), 2, FALSE), """")"),143.11)</f>
        <v>143.11</v>
      </c>
      <c r="D212" s="18">
        <f>IFERROR(__xludf.DUMMYFUNCTION("IFERROR(VLOOKUP($A212, GOOGLEFINANCE(D$1, ""price"", $A$2, TODAY()), 2, FALSE), """")"),118.23)</f>
        <v>118.23</v>
      </c>
      <c r="E212" s="18">
        <f>IFERROR(__xludf.DUMMYFUNCTION("IFERROR(VLOOKUP($A212, GOOGLEFINANCE(E$1, ""price"", $A$2, TODAY()), 2, FALSE), """")"),53.33)</f>
        <v>53.33</v>
      </c>
      <c r="F212" s="18">
        <f>IFERROR(__xludf.DUMMYFUNCTION("IFERROR(VLOOKUP($A212, GOOGLEFINANCE(F$1, ""price"", $A$2, TODAY()), 2, FALSE), """")"),115.39)</f>
        <v>115.39</v>
      </c>
      <c r="G212" s="18">
        <f>IFERROR(__xludf.DUMMYFUNCTION("IFERROR(VLOOKUP($A212, GOOGLEFINANCE(G$1, ""price"", $A$2, TODAY()), 2, FALSE), """")"),157.65)</f>
        <v>157.65</v>
      </c>
      <c r="H212" s="18">
        <f>IFERROR(__xludf.DUMMYFUNCTION("IFERROR(VLOOKUP($A212, GOOGLEFINANCE(H$1, ""price"", $A$2, TODAY()), 2, FALSE), """")"),79.37)</f>
        <v>79.37</v>
      </c>
      <c r="I212" s="18">
        <f>IFERROR(__xludf.DUMMYFUNCTION("IFERROR(VLOOKUP($A212, GOOGLEFINANCE(I$1, ""price"", $A$2, TODAY()), 2, FALSE), """")"),153.69)</f>
        <v>153.69</v>
      </c>
      <c r="J212" s="18">
        <f>IFERROR(__xludf.DUMMYFUNCTION("IFERROR(VLOOKUP($A212, GOOGLEFINANCE(J$1, ""price"", $A$2, TODAY()), 2, FALSE), """")"),45.23)</f>
        <v>45.23</v>
      </c>
      <c r="K212" s="18">
        <f>IFERROR(__xludf.DUMMYFUNCTION("IFERROR(VLOOKUP($A212, GOOGLEFINANCE(K$1, ""price"", $A$2, TODAY()), 2, FALSE), """")"),44.7)</f>
        <v>44.7</v>
      </c>
      <c r="L212" s="18">
        <f>IFERROR(__xludf.DUMMYFUNCTION("IFERROR(VLOOKUP($A212, GOOGLEFINANCE(L$1, ""price"", $A$2, TODAY()), 2, FALSE), """")"),45.32)</f>
        <v>45.32</v>
      </c>
      <c r="M212" s="196">
        <f>IFERROR(__xludf.DUMMYFUNCTION("IFERROR(VLOOKUP($A212, GOOGLEFINANCE(M$1, ""price"", $A$2, TODAY()), 2, FALSE), """")"),41.67)</f>
        <v>41.67</v>
      </c>
      <c r="O212" s="18">
        <v>0.2094119024276036</v>
      </c>
      <c r="P212" s="18">
        <v>0.1730051654253062</v>
      </c>
      <c r="Q212" s="18">
        <v>0.0780374310423038</v>
      </c>
      <c r="R212" s="18">
        <v>0.16884941248774493</v>
      </c>
      <c r="S212" s="18">
        <v>0.230688186833287</v>
      </c>
      <c r="T212" s="18">
        <v>0.11614158825853467</v>
      </c>
      <c r="U212" s="18">
        <v>0.2248935454133072</v>
      </c>
      <c r="V212" s="18">
        <v>0.06618475541052693</v>
      </c>
      <c r="W212" s="18">
        <v>0.06540920996795388</v>
      </c>
      <c r="X212" s="18">
        <v>0.06631645180643557</v>
      </c>
      <c r="Y212" s="196">
        <v>0.060975431305696604</v>
      </c>
      <c r="AA212" s="18">
        <v>-0.020520822813209216</v>
      </c>
      <c r="AB212" s="18">
        <v>-0.009204778414113268</v>
      </c>
      <c r="AC212" s="18">
        <v>-0.0031764886103333723</v>
      </c>
      <c r="AD212" s="18">
        <v>-0.011539711015778775</v>
      </c>
      <c r="AE212" s="18">
        <v>0.03210611268247798</v>
      </c>
      <c r="AF212" s="18">
        <v>0.0150028760259322</v>
      </c>
      <c r="AG212" s="18">
        <v>-0.0024113394070991445</v>
      </c>
      <c r="AH212" s="18">
        <v>-0.011711129411058119</v>
      </c>
      <c r="AI212" s="18">
        <v>0.017247475230807385</v>
      </c>
      <c r="AJ212" s="18">
        <v>0.05017385309826361</v>
      </c>
      <c r="AK212" s="18">
        <v>0.02001081951703121</v>
      </c>
    </row>
    <row r="213">
      <c r="A213" s="230">
        <f>IFERROR(__xludf.DUMMYFUNCTION("""COMPUTED_VALUE"""),45992.66666666667)</f>
        <v>45992.66667</v>
      </c>
      <c r="B213" s="18">
        <f>IFERROR(__xludf.DUMMYFUNCTION("""COMPUTED_VALUE"""),680.27)</f>
        <v>680.27</v>
      </c>
      <c r="C213" s="18">
        <f>IFERROR(__xludf.DUMMYFUNCTION("IFERROR(VLOOKUP($A213, GOOGLEFINANCE(C$1, ""price"", $A$2, TODAY()), 2, FALSE), """")"),143.18)</f>
        <v>143.18</v>
      </c>
      <c r="D213" s="18">
        <f>IFERROR(__xludf.DUMMYFUNCTION("IFERROR(VLOOKUP($A213, GOOGLEFINANCE(D$1, ""price"", $A$2, TODAY()), 2, FALSE), """")"),118.3)</f>
        <v>118.3</v>
      </c>
      <c r="E213" s="18">
        <f>IFERROR(__xludf.DUMMYFUNCTION("IFERROR(VLOOKUP($A213, GOOGLEFINANCE(E$1, ""price"", $A$2, TODAY()), 2, FALSE), """")"),52.89)</f>
        <v>52.89</v>
      </c>
      <c r="F213" s="18">
        <f>IFERROR(__xludf.DUMMYFUNCTION("IFERROR(VLOOKUP($A213, GOOGLEFINANCE(F$1, ""price"", $A$2, TODAY()), 2, FALSE), """")"),114.85)</f>
        <v>114.85</v>
      </c>
      <c r="G213" s="18">
        <f>IFERROR(__xludf.DUMMYFUNCTION("IFERROR(VLOOKUP($A213, GOOGLEFINANCE(G$1, ""price"", $A$2, TODAY()), 2, FALSE), """")"),155.29)</f>
        <v>155.29</v>
      </c>
      <c r="H213" s="18">
        <f>IFERROR(__xludf.DUMMYFUNCTION("IFERROR(VLOOKUP($A213, GOOGLEFINANCE(H$1, ""price"", $A$2, TODAY()), 2, FALSE), """")"),79.29)</f>
        <v>79.29</v>
      </c>
      <c r="I213" s="18">
        <f>IFERROR(__xludf.DUMMYFUNCTION("IFERROR(VLOOKUP($A213, GOOGLEFINANCE(I$1, ""price"", $A$2, TODAY()), 2, FALSE), """")"),151.44)</f>
        <v>151.44</v>
      </c>
      <c r="J213" s="18">
        <f>IFERROR(__xludf.DUMMYFUNCTION("IFERROR(VLOOKUP($A213, GOOGLEFINANCE(J$1, ""price"", $A$2, TODAY()), 2, FALSE), """")"),45.66)</f>
        <v>45.66</v>
      </c>
      <c r="K213" s="18">
        <f>IFERROR(__xludf.DUMMYFUNCTION("IFERROR(VLOOKUP($A213, GOOGLEFINANCE(K$1, ""price"", $A$2, TODAY()), 2, FALSE), """")"),44.59)</f>
        <v>44.59</v>
      </c>
      <c r="L213" s="18">
        <f>IFERROR(__xludf.DUMMYFUNCTION("IFERROR(VLOOKUP($A213, GOOGLEFINANCE(L$1, ""price"", $A$2, TODAY()), 2, FALSE), """")"),44.26)</f>
        <v>44.26</v>
      </c>
      <c r="M213" s="196">
        <f>IFERROR(__xludf.DUMMYFUNCTION("IFERROR(VLOOKUP($A213, GOOGLEFINANCE(M$1, ""price"", $A$2, TODAY()), 2, FALSE), """")"),41.09)</f>
        <v>41.09</v>
      </c>
      <c r="O213" s="18">
        <v>0.2104752524732827</v>
      </c>
      <c r="P213" s="18">
        <v>0.17390153909477118</v>
      </c>
      <c r="Q213" s="18">
        <v>0.07774854102047717</v>
      </c>
      <c r="R213" s="18">
        <v>0.16883002337307246</v>
      </c>
      <c r="S213" s="18">
        <v>0.22827700765872375</v>
      </c>
      <c r="T213" s="18">
        <v>0.11655666132565012</v>
      </c>
      <c r="U213" s="18">
        <v>0.22261749011421936</v>
      </c>
      <c r="V213" s="18">
        <v>0.06712040807326503</v>
      </c>
      <c r="W213" s="18">
        <v>0.06554750319725992</v>
      </c>
      <c r="X213" s="18">
        <v>0.06506240169344525</v>
      </c>
      <c r="Y213" s="196">
        <v>0.060402487247710475</v>
      </c>
      <c r="AA213" s="18">
        <v>-0.025352591964300952</v>
      </c>
      <c r="AB213" s="18">
        <v>0.007579533616055789</v>
      </c>
      <c r="AC213" s="18">
        <v>-0.006147436465429812</v>
      </c>
      <c r="AD213" s="18">
        <v>-0.007248676427545897</v>
      </c>
      <c r="AE213" s="18">
        <v>0.03055544308085123</v>
      </c>
      <c r="AF213" s="18">
        <v>0.024053854029741473</v>
      </c>
      <c r="AG213" s="18">
        <v>-0.0142626156695137</v>
      </c>
      <c r="AH213" s="18">
        <v>0.0102493300556179</v>
      </c>
      <c r="AI213" s="18">
        <v>0.030594287275593324</v>
      </c>
      <c r="AJ213" s="18">
        <v>0.04116595668749956</v>
      </c>
      <c r="AK213" s="18">
        <v>0.0135727137248971</v>
      </c>
    </row>
    <row r="214">
      <c r="A214" s="230">
        <f>IFERROR(__xludf.DUMMYFUNCTION("""COMPUTED_VALUE"""),45993.66666666667)</f>
        <v>45993.66667</v>
      </c>
      <c r="B214" s="18">
        <f>IFERROR(__xludf.DUMMYFUNCTION("""COMPUTED_VALUE"""),681.53)</f>
        <v>681.53</v>
      </c>
      <c r="C214" s="18">
        <f>IFERROR(__xludf.DUMMYFUNCTION("IFERROR(VLOOKUP($A214, GOOGLEFINANCE(C$1, ""price"", $A$2, TODAY()), 2, FALSE), """")"),144.65)</f>
        <v>144.65</v>
      </c>
      <c r="D214" s="18">
        <f>IFERROR(__xludf.DUMMYFUNCTION("IFERROR(VLOOKUP($A214, GOOGLEFINANCE(D$1, ""price"", $A$2, TODAY()), 2, FALSE), """")"),118.22)</f>
        <v>118.22</v>
      </c>
      <c r="E214" s="18">
        <f>IFERROR(__xludf.DUMMYFUNCTION("IFERROR(VLOOKUP($A214, GOOGLEFINANCE(E$1, ""price"", $A$2, TODAY()), 2, FALSE), """")"),52.84)</f>
        <v>52.84</v>
      </c>
      <c r="F214" s="18">
        <f>IFERROR(__xludf.DUMMYFUNCTION("IFERROR(VLOOKUP($A214, GOOGLEFINANCE(F$1, ""price"", $A$2, TODAY()), 2, FALSE), """")"),115.23)</f>
        <v>115.23</v>
      </c>
      <c r="G214" s="18">
        <f>IFERROR(__xludf.DUMMYFUNCTION("IFERROR(VLOOKUP($A214, GOOGLEFINANCE(G$1, ""price"", $A$2, TODAY()), 2, FALSE), """")"),154.36)</f>
        <v>154.36</v>
      </c>
      <c r="H214" s="18">
        <f>IFERROR(__xludf.DUMMYFUNCTION("IFERROR(VLOOKUP($A214, GOOGLEFINANCE(H$1, ""price"", $A$2, TODAY()), 2, FALSE), """")"),78.77)</f>
        <v>78.77</v>
      </c>
      <c r="I214" s="18">
        <f>IFERROR(__xludf.DUMMYFUNCTION("IFERROR(VLOOKUP($A214, GOOGLEFINANCE(I$1, ""price"", $A$2, TODAY()), 2, FALSE), """")"),152.76)</f>
        <v>152.76</v>
      </c>
      <c r="J214" s="18">
        <f>IFERROR(__xludf.DUMMYFUNCTION("IFERROR(VLOOKUP($A214, GOOGLEFINANCE(J$1, ""price"", $A$2, TODAY()), 2, FALSE), """")"),45.07)</f>
        <v>45.07</v>
      </c>
      <c r="K214" s="18">
        <f>IFERROR(__xludf.DUMMYFUNCTION("IFERROR(VLOOKUP($A214, GOOGLEFINANCE(K$1, ""price"", $A$2, TODAY()), 2, FALSE), """")"),44.19)</f>
        <v>44.19</v>
      </c>
      <c r="L214" s="18">
        <f>IFERROR(__xludf.DUMMYFUNCTION("IFERROR(VLOOKUP($A214, GOOGLEFINANCE(L$1, ""price"", $A$2, TODAY()), 2, FALSE), """")"),43.94)</f>
        <v>43.94</v>
      </c>
      <c r="M214" s="196">
        <f>IFERROR(__xludf.DUMMYFUNCTION("IFERROR(VLOOKUP($A214, GOOGLEFINANCE(M$1, ""price"", $A$2, TODAY()), 2, FALSE), """")"),40.99)</f>
        <v>40.99</v>
      </c>
      <c r="O214" s="18">
        <v>0.21224304139216177</v>
      </c>
      <c r="P214" s="18">
        <v>0.17346265021349025</v>
      </c>
      <c r="Q214" s="18">
        <v>0.07753143662054496</v>
      </c>
      <c r="R214" s="18">
        <v>0.1690754625621763</v>
      </c>
      <c r="S214" s="18">
        <v>0.22649039660763284</v>
      </c>
      <c r="T214" s="18">
        <v>0.1155781843792643</v>
      </c>
      <c r="U214" s="18">
        <v>0.2241427376637859</v>
      </c>
      <c r="V214" s="18">
        <v>0.06613061787448829</v>
      </c>
      <c r="W214" s="18">
        <v>0.06483940545537246</v>
      </c>
      <c r="X214" s="18">
        <v>0.06447258374539638</v>
      </c>
      <c r="Y214" s="196">
        <v>0.06014408756767861</v>
      </c>
      <c r="AA214" s="18">
        <v>-0.02060203355963952</v>
      </c>
      <c r="AB214" s="18">
        <v>0.004254353295663371</v>
      </c>
      <c r="AC214" s="18">
        <v>-0.006060952152833643</v>
      </c>
      <c r="AD214" s="18">
        <v>-0.007772970629187359</v>
      </c>
      <c r="AE214" s="18">
        <v>0.031621769130951716</v>
      </c>
      <c r="AF214" s="18">
        <v>0.012239044216087791</v>
      </c>
      <c r="AG214" s="18">
        <v>-0.0010540549793011111</v>
      </c>
      <c r="AH214" s="18">
        <v>-0.011600498184015873</v>
      </c>
      <c r="AI214" s="18">
        <v>0.020693881130159353</v>
      </c>
      <c r="AJ214" s="18">
        <v>0.03011353453697163</v>
      </c>
      <c r="AK214" s="18">
        <v>0.014341174622893638</v>
      </c>
    </row>
    <row r="215">
      <c r="A215" s="230">
        <f>IFERROR(__xludf.DUMMYFUNCTION("""COMPUTED_VALUE"""),45994.66666666667)</f>
        <v>45994.66667</v>
      </c>
      <c r="B215" s="18">
        <f>IFERROR(__xludf.DUMMYFUNCTION("""COMPUTED_VALUE"""),683.89)</f>
        <v>683.89</v>
      </c>
      <c r="C215" s="18">
        <f>IFERROR(__xludf.DUMMYFUNCTION("IFERROR(VLOOKUP($A215, GOOGLEFINANCE(C$1, ""price"", $A$2, TODAY()), 2, FALSE), """")"),145.0)</f>
        <v>145</v>
      </c>
      <c r="D215" s="18">
        <f>IFERROR(__xludf.DUMMYFUNCTION("IFERROR(VLOOKUP($A215, GOOGLEFINANCE(D$1, ""price"", $A$2, TODAY()), 2, FALSE), """")"),119.5)</f>
        <v>119.5</v>
      </c>
      <c r="E215" s="18">
        <f>IFERROR(__xludf.DUMMYFUNCTION("IFERROR(VLOOKUP($A215, GOOGLEFINANCE(E$1, ""price"", $A$2, TODAY()), 2, FALSE), """")"),53.55)</f>
        <v>53.55</v>
      </c>
      <c r="F215" s="18">
        <f>IFERROR(__xludf.DUMMYFUNCTION("IFERROR(VLOOKUP($A215, GOOGLEFINANCE(F$1, ""price"", $A$2, TODAY()), 2, FALSE), """")"),115.13)</f>
        <v>115.13</v>
      </c>
      <c r="G215" s="18">
        <f>IFERROR(__xludf.DUMMYFUNCTION("IFERROR(VLOOKUP($A215, GOOGLEFINANCE(G$1, ""price"", $A$2, TODAY()), 2, FALSE), """")"),155.08)</f>
        <v>155.08</v>
      </c>
      <c r="H215" s="18">
        <f>IFERROR(__xludf.DUMMYFUNCTION("IFERROR(VLOOKUP($A215, GOOGLEFINANCE(H$1, ""price"", $A$2, TODAY()), 2, FALSE), """")"),78.83)</f>
        <v>78.83</v>
      </c>
      <c r="I215" s="18">
        <f>IFERROR(__xludf.DUMMYFUNCTION("IFERROR(VLOOKUP($A215, GOOGLEFINANCE(I$1, ""price"", $A$2, TODAY()), 2, FALSE), """")"),154.21)</f>
        <v>154.21</v>
      </c>
      <c r="J215" s="18">
        <f>IFERROR(__xludf.DUMMYFUNCTION("IFERROR(VLOOKUP($A215, GOOGLEFINANCE(J$1, ""price"", $A$2, TODAY()), 2, FALSE), """")"),45.92)</f>
        <v>45.92</v>
      </c>
      <c r="K215" s="18">
        <f>IFERROR(__xludf.DUMMYFUNCTION("IFERROR(VLOOKUP($A215, GOOGLEFINANCE(K$1, ""price"", $A$2, TODAY()), 2, FALSE), """")"),44.5)</f>
        <v>44.5</v>
      </c>
      <c r="L215" s="18">
        <f>IFERROR(__xludf.DUMMYFUNCTION("IFERROR(VLOOKUP($A215, GOOGLEFINANCE(L$1, ""price"", $A$2, TODAY()), 2, FALSE), """")"),43.8)</f>
        <v>43.8</v>
      </c>
      <c r="M215" s="196">
        <f>IFERROR(__xludf.DUMMYFUNCTION("IFERROR(VLOOKUP($A215, GOOGLEFINANCE(M$1, ""price"", $A$2, TODAY()), 2, FALSE), """")"),41.07)</f>
        <v>41.07</v>
      </c>
      <c r="O215" s="18">
        <v>0.21202240126336108</v>
      </c>
      <c r="P215" s="18">
        <v>0.1747357031101493</v>
      </c>
      <c r="Q215" s="18">
        <v>0.07830206612174473</v>
      </c>
      <c r="R215" s="18">
        <v>0.16834578660310867</v>
      </c>
      <c r="S215" s="18">
        <v>0.22676161370980716</v>
      </c>
      <c r="T215" s="18">
        <v>0.11526707511441898</v>
      </c>
      <c r="U215" s="18">
        <v>0.22548947930222699</v>
      </c>
      <c r="V215" s="18">
        <v>0.06714530114492097</v>
      </c>
      <c r="W215" s="18">
        <v>0.06506894383599701</v>
      </c>
      <c r="X215" s="18">
        <v>0.06404538741610492</v>
      </c>
      <c r="Y215" s="196">
        <v>0.06005351737852579</v>
      </c>
      <c r="AA215" s="18">
        <v>-0.019832969564652747</v>
      </c>
      <c r="AB215" s="18">
        <v>0.0036173033785429354</v>
      </c>
      <c r="AC215" s="18">
        <v>-9.62115358544624E-4</v>
      </c>
      <c r="AD215" s="18">
        <v>-0.011279469593410307</v>
      </c>
      <c r="AE215" s="18">
        <v>0.024809272633443902</v>
      </c>
      <c r="AF215" s="18">
        <v>0.013221463007172973</v>
      </c>
      <c r="AG215" s="18">
        <v>-0.006537221044263686</v>
      </c>
      <c r="AH215" s="18">
        <v>-2.794562968101433E-4</v>
      </c>
      <c r="AI215" s="18">
        <v>0.011289640897750086</v>
      </c>
      <c r="AJ215" s="18">
        <v>0.030556682089662335</v>
      </c>
      <c r="AK215" s="18">
        <v>0.01752087096976296</v>
      </c>
    </row>
    <row r="216">
      <c r="A216" s="230">
        <f>IFERROR(__xludf.DUMMYFUNCTION("""COMPUTED_VALUE"""),45995.66666666667)</f>
        <v>45995.66667</v>
      </c>
      <c r="B216" s="18">
        <f>IFERROR(__xludf.DUMMYFUNCTION("""COMPUTED_VALUE"""),684.39)</f>
        <v>684.39</v>
      </c>
      <c r="C216" s="18">
        <f>IFERROR(__xludf.DUMMYFUNCTION("IFERROR(VLOOKUP($A216, GOOGLEFINANCE(C$1, ""price"", $A$2, TODAY()), 2, FALSE), """")"),145.54)</f>
        <v>145.54</v>
      </c>
      <c r="D216" s="18">
        <f>IFERROR(__xludf.DUMMYFUNCTION("IFERROR(VLOOKUP($A216, GOOGLEFINANCE(D$1, ""price"", $A$2, TODAY()), 2, FALSE), """")"),119.07)</f>
        <v>119.07</v>
      </c>
      <c r="E216" s="18">
        <f>IFERROR(__xludf.DUMMYFUNCTION("IFERROR(VLOOKUP($A216, GOOGLEFINANCE(E$1, ""price"", $A$2, TODAY()), 2, FALSE), """")"),53.66)</f>
        <v>53.66</v>
      </c>
      <c r="F216" s="18">
        <f>IFERROR(__xludf.DUMMYFUNCTION("IFERROR(VLOOKUP($A216, GOOGLEFINANCE(F$1, ""price"", $A$2, TODAY()), 2, FALSE), """")"),115.79)</f>
        <v>115.79</v>
      </c>
      <c r="G216" s="18">
        <f>IFERROR(__xludf.DUMMYFUNCTION("IFERROR(VLOOKUP($A216, GOOGLEFINANCE(G$1, ""price"", $A$2, TODAY()), 2, FALSE), """")"),153.9)</f>
        <v>153.9</v>
      </c>
      <c r="H216" s="18">
        <f>IFERROR(__xludf.DUMMYFUNCTION("IFERROR(VLOOKUP($A216, GOOGLEFINANCE(H$1, ""price"", $A$2, TODAY()), 2, FALSE), """")"),78.45)</f>
        <v>78.45</v>
      </c>
      <c r="I216" s="18">
        <f>IFERROR(__xludf.DUMMYFUNCTION("IFERROR(VLOOKUP($A216, GOOGLEFINANCE(I$1, ""price"", $A$2, TODAY()), 2, FALSE), """")"),155.01)</f>
        <v>155.01</v>
      </c>
      <c r="J216" s="18">
        <f>IFERROR(__xludf.DUMMYFUNCTION("IFERROR(VLOOKUP($A216, GOOGLEFINANCE(J$1, ""price"", $A$2, TODAY()), 2, FALSE), """")"),46.11)</f>
        <v>46.11</v>
      </c>
      <c r="K216" s="18">
        <f>IFERROR(__xludf.DUMMYFUNCTION("IFERROR(VLOOKUP($A216, GOOGLEFINANCE(K$1, ""price"", $A$2, TODAY()), 2, FALSE), """")"),44.24)</f>
        <v>44.24</v>
      </c>
      <c r="L216" s="18">
        <f>IFERROR(__xludf.DUMMYFUNCTION("IFERROR(VLOOKUP($A216, GOOGLEFINANCE(L$1, ""price"", $A$2, TODAY()), 2, FALSE), """")"),43.71)</f>
        <v>43.71</v>
      </c>
      <c r="M216" s="196">
        <f>IFERROR(__xludf.DUMMYFUNCTION("IFERROR(VLOOKUP($A216, GOOGLEFINANCE(M$1, ""price"", $A$2, TODAY()), 2, FALSE), """")"),41.0)</f>
        <v>41</v>
      </c>
      <c r="O216" s="18">
        <v>0.21265652624965298</v>
      </c>
      <c r="P216" s="18">
        <v>0.1739797483890764</v>
      </c>
      <c r="Q216" s="18">
        <v>0.07840558745744385</v>
      </c>
      <c r="R216" s="18">
        <v>0.1691871593681965</v>
      </c>
      <c r="S216" s="18">
        <v>0.22487178363213958</v>
      </c>
      <c r="T216" s="18">
        <v>0.11462762460000878</v>
      </c>
      <c r="U216" s="18">
        <v>0.22649366589225442</v>
      </c>
      <c r="V216" s="18">
        <v>0.06737386577828432</v>
      </c>
      <c r="W216" s="18">
        <v>0.06464150557430705</v>
      </c>
      <c r="X216" s="18">
        <v>0.06386709332398194</v>
      </c>
      <c r="Y216" s="196">
        <v>0.059907362760998846</v>
      </c>
      <c r="AA216" s="18">
        <v>-0.00955262421116898</v>
      </c>
      <c r="AB216" s="18">
        <v>-0.002316332190882342</v>
      </c>
      <c r="AC216" s="18">
        <v>-0.015221820520383234</v>
      </c>
      <c r="AD216" s="18">
        <v>-0.0018087952933826257</v>
      </c>
      <c r="AE216" s="18">
        <v>0.009082479006131239</v>
      </c>
      <c r="AF216" s="18">
        <v>0.0025116757054319816</v>
      </c>
      <c r="AG216" s="18">
        <v>-0.01038077903401391</v>
      </c>
      <c r="AH216" s="18">
        <v>0.010270824160578673</v>
      </c>
      <c r="AI216" s="18">
        <v>-0.012655443336764494</v>
      </c>
      <c r="AJ216" s="18">
        <v>0.022659960643323318</v>
      </c>
      <c r="AK216" s="18">
        <v>0.01192051946072481</v>
      </c>
    </row>
    <row r="217">
      <c r="A217" s="230">
        <f>IFERROR(__xludf.DUMMYFUNCTION("""COMPUTED_VALUE"""),45996.66666666667)</f>
        <v>45996.66667</v>
      </c>
      <c r="B217" s="18">
        <f>IFERROR(__xludf.DUMMYFUNCTION("""COMPUTED_VALUE"""),685.69)</f>
        <v>685.69</v>
      </c>
      <c r="C217" s="18">
        <f>IFERROR(__xludf.DUMMYFUNCTION("IFERROR(VLOOKUP($A217, GOOGLEFINANCE(C$1, ""price"", $A$2, TODAY()), 2, FALSE), """")"),146.6)</f>
        <v>146.6</v>
      </c>
      <c r="D217" s="18">
        <f>IFERROR(__xludf.DUMMYFUNCTION("IFERROR(VLOOKUP($A217, GOOGLEFINANCE(D$1, ""price"", $A$2, TODAY()), 2, FALSE), """")"),119.73)</f>
        <v>119.73</v>
      </c>
      <c r="E217" s="18">
        <f>IFERROR(__xludf.DUMMYFUNCTION("IFERROR(VLOOKUP($A217, GOOGLEFINANCE(E$1, ""price"", $A$2, TODAY()), 2, FALSE), """")"),53.68)</f>
        <v>53.68</v>
      </c>
      <c r="F217" s="18">
        <f>IFERROR(__xludf.DUMMYFUNCTION("IFERROR(VLOOKUP($A217, GOOGLEFINANCE(F$1, ""price"", $A$2, TODAY()), 2, FALSE), """")"),117.13)</f>
        <v>117.13</v>
      </c>
      <c r="G217" s="18">
        <f>IFERROR(__xludf.DUMMYFUNCTION("IFERROR(VLOOKUP($A217, GOOGLEFINANCE(G$1, ""price"", $A$2, TODAY()), 2, FALSE), """")"),153.26)</f>
        <v>153.26</v>
      </c>
      <c r="H217" s="18">
        <f>IFERROR(__xludf.DUMMYFUNCTION("IFERROR(VLOOKUP($A217, GOOGLEFINANCE(H$1, ""price"", $A$2, TODAY()), 2, FALSE), """")"),78.46)</f>
        <v>78.46</v>
      </c>
      <c r="I217" s="18">
        <f>IFERROR(__xludf.DUMMYFUNCTION("IFERROR(VLOOKUP($A217, GOOGLEFINANCE(I$1, ""price"", $A$2, TODAY()), 2, FALSE), """")"),154.58)</f>
        <v>154.58</v>
      </c>
      <c r="J217" s="18">
        <f>IFERROR(__xludf.DUMMYFUNCTION("IFERROR(VLOOKUP($A217, GOOGLEFINANCE(J$1, ""price"", $A$2, TODAY()), 2, FALSE), """")"),45.92)</f>
        <v>45.92</v>
      </c>
      <c r="K217" s="18">
        <f>IFERROR(__xludf.DUMMYFUNCTION("IFERROR(VLOOKUP($A217, GOOGLEFINANCE(K$1, ""price"", $A$2, TODAY()), 2, FALSE), """")"),44.09)</f>
        <v>44.09</v>
      </c>
      <c r="L217" s="18">
        <f>IFERROR(__xludf.DUMMYFUNCTION("IFERROR(VLOOKUP($A217, GOOGLEFINANCE(L$1, ""price"", $A$2, TODAY()), 2, FALSE), """")"),43.3)</f>
        <v>43.3</v>
      </c>
      <c r="M217" s="196">
        <f>IFERROR(__xludf.DUMMYFUNCTION("IFERROR(VLOOKUP($A217, GOOGLEFINANCE(M$1, ""price"", $A$2, TODAY()), 2, FALSE), """")"),40.99)</f>
        <v>40.99</v>
      </c>
      <c r="O217" s="18">
        <v>0.21379923872303808</v>
      </c>
      <c r="P217" s="18">
        <v>0.17461243419037756</v>
      </c>
      <c r="Q217" s="18">
        <v>0.07828610596625296</v>
      </c>
      <c r="R217" s="18">
        <v>0.17082063323076024</v>
      </c>
      <c r="S217" s="18">
        <v>0.2235120827195963</v>
      </c>
      <c r="T217" s="18">
        <v>0.11442488588137495</v>
      </c>
      <c r="U217" s="18">
        <v>0.22543715089909433</v>
      </c>
      <c r="V217" s="18">
        <v>0.06696903848677974</v>
      </c>
      <c r="W217" s="18">
        <v>0.06430019396520294</v>
      </c>
      <c r="X217" s="18">
        <v>0.06314806982747305</v>
      </c>
      <c r="Y217" s="196">
        <v>0.05977920051335151</v>
      </c>
      <c r="AA217" s="18">
        <v>0.014404405260062925</v>
      </c>
      <c r="AB217" s="18">
        <v>-0.013721846448783714</v>
      </c>
      <c r="AC217" s="18">
        <v>-0.02871090803361931</v>
      </c>
      <c r="AD217" s="18">
        <v>-7.835700437314186E-4</v>
      </c>
      <c r="AE217" s="18">
        <v>-0.010894472835830449</v>
      </c>
      <c r="AF217" s="18">
        <v>-0.017749808631501107</v>
      </c>
      <c r="AG217" s="18">
        <v>-0.019433252539450496</v>
      </c>
      <c r="AH217" s="18">
        <v>0.0032259213084366856</v>
      </c>
      <c r="AI217" s="18">
        <v>-0.0290741918556644</v>
      </c>
      <c r="AJ217" s="18">
        <v>0.005179268867103071</v>
      </c>
      <c r="AK217" s="18">
        <v>1.243617664423713E-4</v>
      </c>
    </row>
    <row r="218">
      <c r="A218" s="230">
        <f>IFERROR(__xludf.DUMMYFUNCTION("""COMPUTED_VALUE"""),45999.66666666667)</f>
        <v>45999.66667</v>
      </c>
      <c r="B218" s="18">
        <f>IFERROR(__xludf.DUMMYFUNCTION("""COMPUTED_VALUE"""),683.63)</f>
        <v>683.63</v>
      </c>
      <c r="C218" s="18">
        <f>IFERROR(__xludf.DUMMYFUNCTION("IFERROR(VLOOKUP($A218, GOOGLEFINANCE(C$1, ""price"", $A$2, TODAY()), 2, FALSE), """")"),147.63)</f>
        <v>147.63</v>
      </c>
      <c r="D218" s="18">
        <f>IFERROR(__xludf.DUMMYFUNCTION("IFERROR(VLOOKUP($A218, GOOGLEFINANCE(D$1, ""price"", $A$2, TODAY()), 2, FALSE), """")"),117.99)</f>
        <v>117.99</v>
      </c>
      <c r="E218" s="18">
        <f>IFERROR(__xludf.DUMMYFUNCTION("IFERROR(VLOOKUP($A218, GOOGLEFINANCE(E$1, ""price"", $A$2, TODAY()), 2, FALSE), """")"),53.48)</f>
        <v>53.48</v>
      </c>
      <c r="F218" s="18">
        <f>IFERROR(__xludf.DUMMYFUNCTION("IFERROR(VLOOKUP($A218, GOOGLEFINANCE(F$1, ""price"", $A$2, TODAY()), 2, FALSE), """")"),116.26)</f>
        <v>116.26</v>
      </c>
      <c r="G218" s="18">
        <f>IFERROR(__xludf.DUMMYFUNCTION("IFERROR(VLOOKUP($A218, GOOGLEFINANCE(G$1, ""price"", $A$2, TODAY()), 2, FALSE), """")"),151.43)</f>
        <v>151.43</v>
      </c>
      <c r="H218" s="18">
        <f>IFERROR(__xludf.DUMMYFUNCTION("IFERROR(VLOOKUP($A218, GOOGLEFINANCE(H$1, ""price"", $A$2, TODAY()), 2, FALSE), """")"),77.81)</f>
        <v>77.81</v>
      </c>
      <c r="I218" s="18">
        <f>IFERROR(__xludf.DUMMYFUNCTION("IFERROR(VLOOKUP($A218, GOOGLEFINANCE(I$1, ""price"", $A$2, TODAY()), 2, FALSE), """")"),154.39)</f>
        <v>154.39</v>
      </c>
      <c r="J218" s="18">
        <f>IFERROR(__xludf.DUMMYFUNCTION("IFERROR(VLOOKUP($A218, GOOGLEFINANCE(J$1, ""price"", $A$2, TODAY()), 2, FALSE), """")"),45.42)</f>
        <v>45.42</v>
      </c>
      <c r="K218" s="18">
        <f>IFERROR(__xludf.DUMMYFUNCTION("IFERROR(VLOOKUP($A218, GOOGLEFINANCE(K$1, ""price"", $A$2, TODAY()), 2, FALSE), """")"),43.48)</f>
        <v>43.48</v>
      </c>
      <c r="L218" s="18">
        <f>IFERROR(__xludf.DUMMYFUNCTION("IFERROR(VLOOKUP($A218, GOOGLEFINANCE(L$1, ""price"", $A$2, TODAY()), 2, FALSE), """")"),42.72)</f>
        <v>42.72</v>
      </c>
      <c r="M218" s="196">
        <f>IFERROR(__xludf.DUMMYFUNCTION("IFERROR(VLOOKUP($A218, GOOGLEFINANCE(M$1, ""price"", $A$2, TODAY()), 2, FALSE), """")"),40.74)</f>
        <v>40.74</v>
      </c>
      <c r="O218" s="18">
        <v>0.21595014847212674</v>
      </c>
      <c r="P218" s="18">
        <v>0.17259336190629435</v>
      </c>
      <c r="Q218" s="18">
        <v>0.0782294516039378</v>
      </c>
      <c r="R218" s="18">
        <v>0.17006275324371373</v>
      </c>
      <c r="S218" s="18">
        <v>0.22150871085236168</v>
      </c>
      <c r="T218" s="18">
        <v>0.11381887863317877</v>
      </c>
      <c r="U218" s="18">
        <v>0.2258385383906499</v>
      </c>
      <c r="V218" s="18">
        <v>0.06643944823954478</v>
      </c>
      <c r="W218" s="18">
        <v>0.06360165586647748</v>
      </c>
      <c r="X218" s="18">
        <v>0.06248994339043049</v>
      </c>
      <c r="Y218" s="196">
        <v>0.059593639834413355</v>
      </c>
      <c r="AA218" s="18">
        <v>0.03305512698124269</v>
      </c>
      <c r="AB218" s="18">
        <v>-0.034835461673607515</v>
      </c>
      <c r="AC218" s="18">
        <v>-0.03158511383254092</v>
      </c>
      <c r="AD218" s="18">
        <v>-0.006890125970719363</v>
      </c>
      <c r="AE218" s="18">
        <v>-0.034031872270799735</v>
      </c>
      <c r="AF218" s="18">
        <v>-0.02712298779553257</v>
      </c>
      <c r="AG218" s="18">
        <v>-0.020733370032058662</v>
      </c>
      <c r="AH218" s="18">
        <v>8.25970349752625E-4</v>
      </c>
      <c r="AI218" s="18">
        <v>-0.040435390115531544</v>
      </c>
      <c r="AJ218" s="18">
        <v>-0.015761703744383238</v>
      </c>
      <c r="AK218" s="18">
        <v>-0.008379896248345009</v>
      </c>
    </row>
    <row r="219">
      <c r="A219" s="230">
        <f>IFERROR(__xludf.DUMMYFUNCTION("""COMPUTED_VALUE"""),46000.66666666667)</f>
        <v>46000.66667</v>
      </c>
      <c r="B219" s="18">
        <f>IFERROR(__xludf.DUMMYFUNCTION("""COMPUTED_VALUE"""),683.04)</f>
        <v>683.04</v>
      </c>
      <c r="C219" s="18">
        <f>IFERROR(__xludf.DUMMYFUNCTION("IFERROR(VLOOKUP($A219, GOOGLEFINANCE(C$1, ""price"", $A$2, TODAY()), 2, FALSE), """")"),148.02)</f>
        <v>148.02</v>
      </c>
      <c r="D219" s="18">
        <f>IFERROR(__xludf.DUMMYFUNCTION("IFERROR(VLOOKUP($A219, GOOGLEFINANCE(D$1, ""price"", $A$2, TODAY()), 2, FALSE), """")"),117.98)</f>
        <v>117.98</v>
      </c>
      <c r="E219" s="18">
        <f>IFERROR(__xludf.DUMMYFUNCTION("IFERROR(VLOOKUP($A219, GOOGLEFINANCE(E$1, ""price"", $A$2, TODAY()), 2, FALSE), """")"),53.28)</f>
        <v>53.28</v>
      </c>
      <c r="F219" s="18">
        <f>IFERROR(__xludf.DUMMYFUNCTION("IFERROR(VLOOKUP($A219, GOOGLEFINANCE(F$1, ""price"", $A$2, TODAY()), 2, FALSE), """")"),116.39)</f>
        <v>116.39</v>
      </c>
      <c r="G219" s="18">
        <f>IFERROR(__xludf.DUMMYFUNCTION("IFERROR(VLOOKUP($A219, GOOGLEFINANCE(G$1, ""price"", $A$2, TODAY()), 2, FALSE), """")"),149.96)</f>
        <v>149.96</v>
      </c>
      <c r="H219" s="18">
        <f>IFERROR(__xludf.DUMMYFUNCTION("IFERROR(VLOOKUP($A219, GOOGLEFINANCE(H$1, ""price"", $A$2, TODAY()), 2, FALSE), """")"),77.99)</f>
        <v>77.99</v>
      </c>
      <c r="I219" s="18">
        <f>IFERROR(__xludf.DUMMYFUNCTION("IFERROR(VLOOKUP($A219, GOOGLEFINANCE(I$1, ""price"", $A$2, TODAY()), 2, FALSE), """")"),153.26)</f>
        <v>153.26</v>
      </c>
      <c r="J219" s="18">
        <f>IFERROR(__xludf.DUMMYFUNCTION("IFERROR(VLOOKUP($A219, GOOGLEFINANCE(J$1, ""price"", $A$2, TODAY()), 2, FALSE), """")"),45.7)</f>
        <v>45.7</v>
      </c>
      <c r="K219" s="18">
        <f>IFERROR(__xludf.DUMMYFUNCTION("IFERROR(VLOOKUP($A219, GOOGLEFINANCE(K$1, ""price"", $A$2, TODAY()), 2, FALSE), """")"),43.39)</f>
        <v>43.39</v>
      </c>
      <c r="L219" s="18">
        <f>IFERROR(__xludf.DUMMYFUNCTION("IFERROR(VLOOKUP($A219, GOOGLEFINANCE(L$1, ""price"", $A$2, TODAY()), 2, FALSE), """")"),42.75)</f>
        <v>42.75</v>
      </c>
      <c r="M219" s="196">
        <f>IFERROR(__xludf.DUMMYFUNCTION("IFERROR(VLOOKUP($A219, GOOGLEFINANCE(M$1, ""price"", $A$2, TODAY()), 2, FALSE), """")"),40.5)</f>
        <v>40.5</v>
      </c>
      <c r="O219" s="18">
        <v>0.2167076598735067</v>
      </c>
      <c r="P219" s="18">
        <v>0.17272780510658237</v>
      </c>
      <c r="Q219" s="18">
        <v>0.07800421644413212</v>
      </c>
      <c r="R219" s="18">
        <v>0.1703999765753104</v>
      </c>
      <c r="S219" s="18">
        <v>0.21954790349027878</v>
      </c>
      <c r="T219" s="18">
        <v>0.11418072148044038</v>
      </c>
      <c r="U219" s="18">
        <v>0.22437924572499415</v>
      </c>
      <c r="V219" s="18">
        <v>0.06690676973530102</v>
      </c>
      <c r="W219" s="18">
        <v>0.06352483017100023</v>
      </c>
      <c r="X219" s="18">
        <v>0.06258784258608574</v>
      </c>
      <c r="Y219" s="196">
        <v>0.0592937456078707</v>
      </c>
      <c r="AA219" s="18">
        <v>0.031960781834508234</v>
      </c>
      <c r="AB219" s="18">
        <v>-0.03830291927576834</v>
      </c>
      <c r="AC219" s="18">
        <v>-0.030843293970937546</v>
      </c>
      <c r="AD219" s="18">
        <v>-0.008320342068744546</v>
      </c>
      <c r="AE219" s="18">
        <v>-0.032618386172223235</v>
      </c>
      <c r="AF219" s="18">
        <v>-0.022277164588464182</v>
      </c>
      <c r="AG219" s="18">
        <v>-0.023937341116706534</v>
      </c>
      <c r="AH219" s="18">
        <v>0.03677239831553991</v>
      </c>
      <c r="AI219" s="18">
        <v>-0.04166441204029059</v>
      </c>
      <c r="AJ219" s="18">
        <v>-0.012801842555389742</v>
      </c>
      <c r="AK219" s="18">
        <v>-0.007330577538466443</v>
      </c>
    </row>
    <row r="220">
      <c r="A220" s="230">
        <f>IFERROR(__xludf.DUMMYFUNCTION("""COMPUTED_VALUE"""),46001.66666666667)</f>
        <v>46001.66667</v>
      </c>
      <c r="B220" s="18">
        <f>IFERROR(__xludf.DUMMYFUNCTION("""COMPUTED_VALUE"""),687.57)</f>
        <v>687.57</v>
      </c>
      <c r="C220" s="18">
        <f>IFERROR(__xludf.DUMMYFUNCTION("IFERROR(VLOOKUP($A220, GOOGLEFINANCE(C$1, ""price"", $A$2, TODAY()), 2, FALSE), """")"),148.73)</f>
        <v>148.73</v>
      </c>
      <c r="D220" s="18">
        <f>IFERROR(__xludf.DUMMYFUNCTION("IFERROR(VLOOKUP($A220, GOOGLEFINANCE(D$1, ""price"", $A$2, TODAY()), 2, FALSE), """")"),119.71)</f>
        <v>119.71</v>
      </c>
      <c r="E220" s="18">
        <f>IFERROR(__xludf.DUMMYFUNCTION("IFERROR(VLOOKUP($A220, GOOGLEFINANCE(E$1, ""price"", $A$2, TODAY()), 2, FALSE), """")"),53.89)</f>
        <v>53.89</v>
      </c>
      <c r="F220" s="18">
        <f>IFERROR(__xludf.DUMMYFUNCTION("IFERROR(VLOOKUP($A220, GOOGLEFINANCE(F$1, ""price"", $A$2, TODAY()), 2, FALSE), """")"),117.07)</f>
        <v>117.07</v>
      </c>
      <c r="G220" s="18">
        <f>IFERROR(__xludf.DUMMYFUNCTION("IFERROR(VLOOKUP($A220, GOOGLEFINANCE(G$1, ""price"", $A$2, TODAY()), 2, FALSE), """")"),152.14)</f>
        <v>152.14</v>
      </c>
      <c r="H220" s="18">
        <f>IFERROR(__xludf.DUMMYFUNCTION("IFERROR(VLOOKUP($A220, GOOGLEFINANCE(H$1, ""price"", $A$2, TODAY()), 2, FALSE), """")"),78.22)</f>
        <v>78.22</v>
      </c>
      <c r="I220" s="18">
        <f>IFERROR(__xludf.DUMMYFUNCTION("IFERROR(VLOOKUP($A220, GOOGLEFINANCE(I$1, ""price"", $A$2, TODAY()), 2, FALSE), """")"),156.06)</f>
        <v>156.06</v>
      </c>
      <c r="J220" s="18">
        <f>IFERROR(__xludf.DUMMYFUNCTION("IFERROR(VLOOKUP($A220, GOOGLEFINANCE(J$1, ""price"", $A$2, TODAY()), 2, FALSE), """")"),46.18)</f>
        <v>46.18</v>
      </c>
      <c r="K220" s="18">
        <f>IFERROR(__xludf.DUMMYFUNCTION("IFERROR(VLOOKUP($A220, GOOGLEFINANCE(K$1, ""price"", $A$2, TODAY()), 2, FALSE), """")"),44.24)</f>
        <v>44.24</v>
      </c>
      <c r="L220" s="18">
        <f>IFERROR(__xludf.DUMMYFUNCTION("IFERROR(VLOOKUP($A220, GOOGLEFINANCE(L$1, ""price"", $A$2, TODAY()), 2, FALSE), """")"),42.73)</f>
        <v>42.73</v>
      </c>
      <c r="M220" s="196">
        <f>IFERROR(__xludf.DUMMYFUNCTION("IFERROR(VLOOKUP($A220, GOOGLEFINANCE(M$1, ""price"", $A$2, TODAY()), 2, FALSE), """")"),40.58)</f>
        <v>40.58</v>
      </c>
      <c r="O220" s="18">
        <v>0.21631252090696218</v>
      </c>
      <c r="P220" s="18">
        <v>0.1741059092165161</v>
      </c>
      <c r="Q220" s="18">
        <v>0.07837747429352647</v>
      </c>
      <c r="R220" s="18">
        <v>0.17026630015852928</v>
      </c>
      <c r="S220" s="18">
        <v>0.22127201594019513</v>
      </c>
      <c r="T220" s="18">
        <v>0.11376296231656412</v>
      </c>
      <c r="U220" s="18">
        <v>0.22697325363235743</v>
      </c>
      <c r="V220" s="18">
        <v>0.06716407056736041</v>
      </c>
      <c r="W220" s="18">
        <v>0.06434253966868828</v>
      </c>
      <c r="X220" s="18">
        <v>0.062146399639309444</v>
      </c>
      <c r="Y220" s="196">
        <v>0.059019445292842906</v>
      </c>
      <c r="AA220" s="18">
        <v>0.04191280964871513</v>
      </c>
      <c r="AB220" s="18">
        <v>-0.03008042276826317</v>
      </c>
      <c r="AC220" s="18">
        <v>-0.03674471461333206</v>
      </c>
      <c r="AD220" s="18">
        <v>-0.012893584954351556</v>
      </c>
      <c r="AE220" s="18">
        <v>-0.03399420311953305</v>
      </c>
      <c r="AF220" s="18">
        <v>-0.041048927817436964</v>
      </c>
      <c r="AG220" s="18">
        <v>-0.007426284838371822</v>
      </c>
      <c r="AH220" s="18">
        <v>0.0070110982341620165</v>
      </c>
      <c r="AI220" s="18">
        <v>-0.044045560222232494</v>
      </c>
      <c r="AJ220" s="18">
        <v>-0.02420269602824232</v>
      </c>
      <c r="AK220" s="18">
        <v>-0.02711378419801802</v>
      </c>
    </row>
    <row r="221">
      <c r="A221" s="230">
        <f>IFERROR(__xludf.DUMMYFUNCTION("""COMPUTED_VALUE"""),46002.66666666667)</f>
        <v>46002.66667</v>
      </c>
      <c r="B221" s="18">
        <f>IFERROR(__xludf.DUMMYFUNCTION("""COMPUTED_VALUE"""),689.17)</f>
        <v>689.17</v>
      </c>
      <c r="C221" s="18">
        <f>IFERROR(__xludf.DUMMYFUNCTION("IFERROR(VLOOKUP($A221, GOOGLEFINANCE(C$1, ""price"", $A$2, TODAY()), 2, FALSE), """")"),147.97)</f>
        <v>147.97</v>
      </c>
      <c r="D221" s="18">
        <f>IFERROR(__xludf.DUMMYFUNCTION("IFERROR(VLOOKUP($A221, GOOGLEFINANCE(D$1, ""price"", $A$2, TODAY()), 2, FALSE), """")"),120.18)</f>
        <v>120.18</v>
      </c>
      <c r="E221" s="18">
        <f>IFERROR(__xludf.DUMMYFUNCTION("IFERROR(VLOOKUP($A221, GOOGLEFINANCE(E$1, ""price"", $A$2, TODAY()), 2, FALSE), """")"),54.87)</f>
        <v>54.87</v>
      </c>
      <c r="F221" s="18">
        <f>IFERROR(__xludf.DUMMYFUNCTION("IFERROR(VLOOKUP($A221, GOOGLEFINANCE(F$1, ""price"", $A$2, TODAY()), 2, FALSE), """")"),116.81)</f>
        <v>116.81</v>
      </c>
      <c r="G221" s="18">
        <f>IFERROR(__xludf.DUMMYFUNCTION("IFERROR(VLOOKUP($A221, GOOGLEFINANCE(G$1, ""price"", $A$2, TODAY()), 2, FALSE), """")"),153.58)</f>
        <v>153.58</v>
      </c>
      <c r="H221" s="18">
        <f>IFERROR(__xludf.DUMMYFUNCTION("IFERROR(VLOOKUP($A221, GOOGLEFINANCE(H$1, ""price"", $A$2, TODAY()), 2, FALSE), """")"),78.8)</f>
        <v>78.8</v>
      </c>
      <c r="I221" s="18">
        <f>IFERROR(__xludf.DUMMYFUNCTION("IFERROR(VLOOKUP($A221, GOOGLEFINANCE(I$1, ""price"", $A$2, TODAY()), 2, FALSE), """")"),157.73)</f>
        <v>157.73</v>
      </c>
      <c r="J221" s="18">
        <f>IFERROR(__xludf.DUMMYFUNCTION("IFERROR(VLOOKUP($A221, GOOGLEFINANCE(J$1, ""price"", $A$2, TODAY()), 2, FALSE), """")"),45.96)</f>
        <v>45.96</v>
      </c>
      <c r="K221" s="18">
        <f>IFERROR(__xludf.DUMMYFUNCTION("IFERROR(VLOOKUP($A221, GOOGLEFINANCE(K$1, ""price"", $A$2, TODAY()), 2, FALSE), """")"),45.12)</f>
        <v>45.12</v>
      </c>
      <c r="L221" s="18">
        <f>IFERROR(__xludf.DUMMYFUNCTION("IFERROR(VLOOKUP($A221, GOOGLEFINANCE(L$1, ""price"", $A$2, TODAY()), 2, FALSE), """")"),43.04)</f>
        <v>43.04</v>
      </c>
      <c r="M221" s="196">
        <f>IFERROR(__xludf.DUMMYFUNCTION("IFERROR(VLOOKUP($A221, GOOGLEFINANCE(M$1, ""price"", $A$2, TODAY()), 2, FALSE), """")"),40.8)</f>
        <v>40.8</v>
      </c>
      <c r="O221" s="18">
        <v>0.21470754675914508</v>
      </c>
      <c r="P221" s="18">
        <v>0.17438367891811893</v>
      </c>
      <c r="Q221" s="18">
        <v>0.07961751091893148</v>
      </c>
      <c r="R221" s="18">
        <v>0.16949373884527766</v>
      </c>
      <c r="S221" s="18">
        <v>0.22284777340859296</v>
      </c>
      <c r="T221" s="18">
        <v>0.11434043849848369</v>
      </c>
      <c r="U221" s="18">
        <v>0.228869509700074</v>
      </c>
      <c r="V221" s="18">
        <v>0.0666889156521613</v>
      </c>
      <c r="W221" s="18">
        <v>0.06547005818593381</v>
      </c>
      <c r="X221" s="18">
        <v>0.06245193493622764</v>
      </c>
      <c r="Y221" s="196">
        <v>0.059201648359620995</v>
      </c>
      <c r="AA221" s="18">
        <v>0.026163728671463105</v>
      </c>
      <c r="AB221" s="18">
        <v>-0.03575831880219138</v>
      </c>
      <c r="AC221" s="18">
        <v>-0.0124888593448923</v>
      </c>
      <c r="AD221" s="18">
        <v>-0.01556255244556548</v>
      </c>
      <c r="AE221" s="18">
        <v>-0.020532562681366384</v>
      </c>
      <c r="AF221" s="18">
        <v>-0.02326207310178985</v>
      </c>
      <c r="AG221" s="18">
        <v>0.0018983836588950531</v>
      </c>
      <c r="AH221" s="18">
        <v>0.02227624679849427</v>
      </c>
      <c r="AI221" s="18">
        <v>-0.019514494995823806</v>
      </c>
      <c r="AJ221" s="18">
        <v>-0.02161045793631511</v>
      </c>
      <c r="AK221" s="18">
        <v>-0.010668501338122027</v>
      </c>
    </row>
    <row r="222">
      <c r="A222" s="230">
        <f>IFERROR(__xludf.DUMMYFUNCTION("""COMPUTED_VALUE"""),46003.66666666667)</f>
        <v>46003.66667</v>
      </c>
      <c r="B222" s="18">
        <f>IFERROR(__xludf.DUMMYFUNCTION("""COMPUTED_VALUE"""),681.76)</f>
        <v>681.76</v>
      </c>
      <c r="C222" s="18">
        <f>IFERROR(__xludf.DUMMYFUNCTION("IFERROR(VLOOKUP($A222, GOOGLEFINANCE(C$1, ""price"", $A$2, TODAY()), 2, FALSE), """")"),143.69)</f>
        <v>143.69</v>
      </c>
      <c r="D222" s="18">
        <f>IFERROR(__xludf.DUMMYFUNCTION("IFERROR(VLOOKUP($A222, GOOGLEFINANCE(D$1, ""price"", $A$2, TODAY()), 2, FALSE), """")"),120.7)</f>
        <v>120.7</v>
      </c>
      <c r="E222" s="18">
        <f>IFERROR(__xludf.DUMMYFUNCTION("IFERROR(VLOOKUP($A222, GOOGLEFINANCE(E$1, ""price"", $A$2, TODAY()), 2, FALSE), """")"),54.95)</f>
        <v>54.95</v>
      </c>
      <c r="F222" s="18">
        <f>IFERROR(__xludf.DUMMYFUNCTION("IFERROR(VLOOKUP($A222, GOOGLEFINANCE(F$1, ""price"", $A$2, TODAY()), 2, FALSE), """")"),116.55)</f>
        <v>116.55</v>
      </c>
      <c r="G222" s="18">
        <f>IFERROR(__xludf.DUMMYFUNCTION("IFERROR(VLOOKUP($A222, GOOGLEFINANCE(G$1, ""price"", $A$2, TODAY()), 2, FALSE), """")"),154.06)</f>
        <v>154.06</v>
      </c>
      <c r="H222" s="18">
        <f>IFERROR(__xludf.DUMMYFUNCTION("IFERROR(VLOOKUP($A222, GOOGLEFINANCE(H$1, ""price"", $A$2, TODAY()), 2, FALSE), """")"),79.42)</f>
        <v>79.42</v>
      </c>
      <c r="I222" s="18">
        <f>IFERROR(__xludf.DUMMYFUNCTION("IFERROR(VLOOKUP($A222, GOOGLEFINANCE(I$1, ""price"", $A$2, TODAY()), 2, FALSE), """")"),156.74)</f>
        <v>156.74</v>
      </c>
      <c r="J222" s="18">
        <f>IFERROR(__xludf.DUMMYFUNCTION("IFERROR(VLOOKUP($A222, GOOGLEFINANCE(J$1, ""price"", $A$2, TODAY()), 2, FALSE), """")"),45.51)</f>
        <v>45.51</v>
      </c>
      <c r="K222" s="18">
        <f>IFERROR(__xludf.DUMMYFUNCTION("IFERROR(VLOOKUP($A222, GOOGLEFINANCE(K$1, ""price"", $A$2, TODAY()), 2, FALSE), """")"),45.15)</f>
        <v>45.15</v>
      </c>
      <c r="L222" s="18">
        <f>IFERROR(__xludf.DUMMYFUNCTION("IFERROR(VLOOKUP($A222, GOOGLEFINANCE(L$1, ""price"", $A$2, TODAY()), 2, FALSE), """")"),42.83)</f>
        <v>42.83</v>
      </c>
      <c r="M222" s="196">
        <f>IFERROR(__xludf.DUMMYFUNCTION("IFERROR(VLOOKUP($A222, GOOGLEFINANCE(M$1, ""price"", $A$2, TODAY()), 2, FALSE), """")"),40.75)</f>
        <v>40.75</v>
      </c>
      <c r="O222" s="18">
        <v>0.21076331846984275</v>
      </c>
      <c r="P222" s="18">
        <v>0.17704177423140108</v>
      </c>
      <c r="Q222" s="18">
        <v>0.08060021121802394</v>
      </c>
      <c r="R222" s="18">
        <v>0.1709545881248533</v>
      </c>
      <c r="S222" s="18">
        <v>0.22597394977704766</v>
      </c>
      <c r="T222" s="18">
        <v>0.11649260736916217</v>
      </c>
      <c r="U222" s="18">
        <v>0.2299049518892279</v>
      </c>
      <c r="V222" s="18">
        <v>0.06675369631541891</v>
      </c>
      <c r="W222" s="18">
        <v>0.06622565125557381</v>
      </c>
      <c r="X222" s="18">
        <v>0.06282269420323867</v>
      </c>
      <c r="Y222" s="196">
        <v>0.05977176719080028</v>
      </c>
      <c r="AA222" s="18">
        <v>-0.007998569036028358</v>
      </c>
      <c r="AB222" s="18">
        <v>-0.01113778314198377</v>
      </c>
      <c r="AC222" s="18">
        <v>2.862464054504965E-4</v>
      </c>
      <c r="AD222" s="18">
        <v>-0.0014591217654144062</v>
      </c>
      <c r="AE222" s="18">
        <v>-0.007386017305015646</v>
      </c>
      <c r="AF222" s="18">
        <v>0.006393801083753425</v>
      </c>
      <c r="AG222" s="18">
        <v>0.003920256680929102</v>
      </c>
      <c r="AH222" s="18">
        <v>0.02950143157287477</v>
      </c>
      <c r="AI222" s="18">
        <v>-0.006556843993145711</v>
      </c>
      <c r="AJ222" s="18">
        <v>0.0029673339850389002</v>
      </c>
      <c r="AK222" s="18">
        <v>0.008680065271182036</v>
      </c>
    </row>
    <row r="223">
      <c r="A223" s="230">
        <f>IFERROR(__xludf.DUMMYFUNCTION("""COMPUTED_VALUE"""),46006.66666666667)</f>
        <v>46006.66667</v>
      </c>
      <c r="B223" s="18">
        <f>IFERROR(__xludf.DUMMYFUNCTION("""COMPUTED_VALUE"""),680.73)</f>
        <v>680.73</v>
      </c>
      <c r="C223" s="18">
        <f>IFERROR(__xludf.DUMMYFUNCTION("IFERROR(VLOOKUP($A223, GOOGLEFINANCE(C$1, ""price"", $A$2, TODAY()), 2, FALSE), """")"),142.3)</f>
        <v>142.3</v>
      </c>
      <c r="D223" s="18">
        <f>IFERROR(__xludf.DUMMYFUNCTION("IFERROR(VLOOKUP($A223, GOOGLEFINANCE(D$1, ""price"", $A$2, TODAY()), 2, FALSE), """")"),121.73)</f>
        <v>121.73</v>
      </c>
      <c r="E223" s="18">
        <f>IFERROR(__xludf.DUMMYFUNCTION("IFERROR(VLOOKUP($A223, GOOGLEFINANCE(E$1, ""price"", $A$2, TODAY()), 2, FALSE), """")"),54.99)</f>
        <v>54.99</v>
      </c>
      <c r="F223" s="18">
        <f>IFERROR(__xludf.DUMMYFUNCTION("IFERROR(VLOOKUP($A223, GOOGLEFINANCE(F$1, ""price"", $A$2, TODAY()), 2, FALSE), """")"),116.57)</f>
        <v>116.57</v>
      </c>
      <c r="G223" s="18">
        <f>IFERROR(__xludf.DUMMYFUNCTION("IFERROR(VLOOKUP($A223, GOOGLEFINANCE(G$1, ""price"", $A$2, TODAY()), 2, FALSE), """")"),156.1)</f>
        <v>156.1</v>
      </c>
      <c r="H223" s="18">
        <f>IFERROR(__xludf.DUMMYFUNCTION("IFERROR(VLOOKUP($A223, GOOGLEFINANCE(H$1, ""price"", $A$2, TODAY()), 2, FALSE), """")"),79.64)</f>
        <v>79.64</v>
      </c>
      <c r="I223" s="18">
        <f>IFERROR(__xludf.DUMMYFUNCTION("IFERROR(VLOOKUP($A223, GOOGLEFINANCE(I$1, ""price"", $A$2, TODAY()), 2, FALSE), """")"),156.99)</f>
        <v>156.99</v>
      </c>
      <c r="J223" s="18">
        <f>IFERROR(__xludf.DUMMYFUNCTION("IFERROR(VLOOKUP($A223, GOOGLEFINANCE(J$1, ""price"", $A$2, TODAY()), 2, FALSE), """")"),45.19)</f>
        <v>45.19</v>
      </c>
      <c r="K223" s="18">
        <f>IFERROR(__xludf.DUMMYFUNCTION("IFERROR(VLOOKUP($A223, GOOGLEFINANCE(K$1, ""price"", $A$2, TODAY()), 2, FALSE), """")"),45.12)</f>
        <v>45.12</v>
      </c>
      <c r="L223" s="18">
        <f>IFERROR(__xludf.DUMMYFUNCTION("IFERROR(VLOOKUP($A223, GOOGLEFINANCE(L$1, ""price"", $A$2, TODAY()), 2, FALSE), """")"),43.22)</f>
        <v>43.22</v>
      </c>
      <c r="M223" s="196">
        <f>IFERROR(__xludf.DUMMYFUNCTION("IFERROR(VLOOKUP($A223, GOOGLEFINANCE(M$1, ""price"", $A$2, TODAY()), 2, FALSE), """")"),40.91)</f>
        <v>40.91</v>
      </c>
      <c r="O223" s="18">
        <v>0.2090402949774507</v>
      </c>
      <c r="P223" s="18">
        <v>0.1788227344174636</v>
      </c>
      <c r="Q223" s="18">
        <v>0.08078092635846812</v>
      </c>
      <c r="R223" s="18">
        <v>0.1712426365813171</v>
      </c>
      <c r="S223" s="18">
        <v>0.22931264965551687</v>
      </c>
      <c r="T223" s="18">
        <v>0.11699205264936172</v>
      </c>
      <c r="U223" s="18">
        <v>0.2306200696311313</v>
      </c>
      <c r="V223" s="18">
        <v>0.066384616514624</v>
      </c>
      <c r="W223" s="18">
        <v>0.06628178573002512</v>
      </c>
      <c r="X223" s="18">
        <v>0.06349066443376962</v>
      </c>
      <c r="Y223" s="196">
        <v>0.06009724854200637</v>
      </c>
      <c r="AA223" s="18">
        <v>-0.013798117874017857</v>
      </c>
      <c r="AB223" s="18">
        <v>0.0010068106188620973</v>
      </c>
      <c r="AC223" s="18">
        <v>2.1724477037743384E-5</v>
      </c>
      <c r="AD223" s="18">
        <v>0.005246826761386991</v>
      </c>
      <c r="AE223" s="18">
        <v>0.011205292102946629</v>
      </c>
      <c r="AF223" s="18">
        <v>0.02875792778457109</v>
      </c>
      <c r="AG223" s="18">
        <v>0.005638600990051756</v>
      </c>
      <c r="AH223" s="18">
        <v>0.02832338673851975</v>
      </c>
      <c r="AI223" s="18">
        <v>-0.006092504456030046</v>
      </c>
      <c r="AJ223" s="18">
        <v>0.023788832686094885</v>
      </c>
      <c r="AK223" s="18">
        <v>0.024045750659921206</v>
      </c>
    </row>
    <row r="224">
      <c r="A224" s="230">
        <f>IFERROR(__xludf.DUMMYFUNCTION("""COMPUTED_VALUE"""),46007.66666666667)</f>
        <v>46007.66667</v>
      </c>
      <c r="B224" s="18">
        <f>IFERROR(__xludf.DUMMYFUNCTION("""COMPUTED_VALUE"""),678.87)</f>
        <v>678.87</v>
      </c>
      <c r="C224" s="18">
        <f>IFERROR(__xludf.DUMMYFUNCTION("IFERROR(VLOOKUP($A224, GOOGLEFINANCE(C$1, ""price"", $A$2, TODAY()), 2, FALSE), """")"),142.56)</f>
        <v>142.56</v>
      </c>
      <c r="D224" s="18">
        <f>IFERROR(__xludf.DUMMYFUNCTION("IFERROR(VLOOKUP($A224, GOOGLEFINANCE(D$1, ""price"", $A$2, TODAY()), 2, FALSE), """")"),121.93)</f>
        <v>121.93</v>
      </c>
      <c r="E224" s="18">
        <f>IFERROR(__xludf.DUMMYFUNCTION("IFERROR(VLOOKUP($A224, GOOGLEFINANCE(E$1, ""price"", $A$2, TODAY()), 2, FALSE), """")"),54.64)</f>
        <v>54.64</v>
      </c>
      <c r="F224" s="18">
        <f>IFERROR(__xludf.DUMMYFUNCTION("IFERROR(VLOOKUP($A224, GOOGLEFINANCE(F$1, ""price"", $A$2, TODAY()), 2, FALSE), """")"),116.65)</f>
        <v>116.65</v>
      </c>
      <c r="G224" s="18">
        <f>IFERROR(__xludf.DUMMYFUNCTION("IFERROR(VLOOKUP($A224, GOOGLEFINANCE(G$1, ""price"", $A$2, TODAY()), 2, FALSE), """")"),154.07)</f>
        <v>154.07</v>
      </c>
      <c r="H224" s="18">
        <f>IFERROR(__xludf.DUMMYFUNCTION("IFERROR(VLOOKUP($A224, GOOGLEFINANCE(H$1, ""price"", $A$2, TODAY()), 2, FALSE), """")"),79.28)</f>
        <v>79.28</v>
      </c>
      <c r="I224" s="18">
        <f>IFERROR(__xludf.DUMMYFUNCTION("IFERROR(VLOOKUP($A224, GOOGLEFINANCE(I$1, ""price"", $A$2, TODAY()), 2, FALSE), """")"),156.06)</f>
        <v>156.06</v>
      </c>
      <c r="J224" s="18">
        <f>IFERROR(__xludf.DUMMYFUNCTION("IFERROR(VLOOKUP($A224, GOOGLEFINANCE(J$1, ""price"", $A$2, TODAY()), 2, FALSE), """")"),43.81)</f>
        <v>43.81</v>
      </c>
      <c r="K224" s="18">
        <f>IFERROR(__xludf.DUMMYFUNCTION("IFERROR(VLOOKUP($A224, GOOGLEFINANCE(K$1, ""price"", $A$2, TODAY()), 2, FALSE), """")"),45.0)</f>
        <v>45</v>
      </c>
      <c r="L224" s="18">
        <f>IFERROR(__xludf.DUMMYFUNCTION("IFERROR(VLOOKUP($A224, GOOGLEFINANCE(L$1, ""price"", $A$2, TODAY()), 2, FALSE), """")"),43.04)</f>
        <v>43.04</v>
      </c>
      <c r="M224" s="196">
        <f>IFERROR(__xludf.DUMMYFUNCTION("IFERROR(VLOOKUP($A224, GOOGLEFINANCE(M$1, ""price"", $A$2, TODAY()), 2, FALSE), """")"),40.55)</f>
        <v>40.55</v>
      </c>
      <c r="O224" s="18">
        <v>0.20999602280259844</v>
      </c>
      <c r="P224" s="18">
        <v>0.1796072885824974</v>
      </c>
      <c r="Q224" s="18">
        <v>0.0804866911190655</v>
      </c>
      <c r="R224" s="18">
        <v>0.1718296581083271</v>
      </c>
      <c r="S224" s="18">
        <v>0.22695066802185984</v>
      </c>
      <c r="T224" s="18">
        <v>0.11678229999852696</v>
      </c>
      <c r="U224" s="18">
        <v>0.22988200981042026</v>
      </c>
      <c r="V224" s="18">
        <v>0.06453371043056845</v>
      </c>
      <c r="W224" s="18">
        <v>0.06628662335940608</v>
      </c>
      <c r="X224" s="18">
        <v>0.06339947265308528</v>
      </c>
      <c r="Y224" s="196">
        <v>0.05973161282719813</v>
      </c>
      <c r="AA224" s="18">
        <v>-0.010148243595233697</v>
      </c>
      <c r="AB224" s="18">
        <v>0.011399118058565083</v>
      </c>
      <c r="AC224" s="18">
        <v>-0.0010531477129296363</v>
      </c>
      <c r="AD224" s="18">
        <v>0.007001717286009956</v>
      </c>
      <c r="AE224" s="18">
        <v>0.007374550437568184</v>
      </c>
      <c r="AF224" s="18">
        <v>0.036531429583106734</v>
      </c>
      <c r="AG224" s="18">
        <v>0.007386632710215446</v>
      </c>
      <c r="AH224" s="18">
        <v>-0.0023233387008118056</v>
      </c>
      <c r="AI224" s="18">
        <v>-0.003223051227606466</v>
      </c>
      <c r="AJ224" s="18">
        <v>0.02337637743821097</v>
      </c>
      <c r="AK224" s="18">
        <v>0.0227217610900754</v>
      </c>
    </row>
    <row r="225">
      <c r="A225" s="230">
        <f>IFERROR(__xludf.DUMMYFUNCTION("""COMPUTED_VALUE"""),46008.66666666667)</f>
        <v>46008.66667</v>
      </c>
      <c r="B225" s="18">
        <f>IFERROR(__xludf.DUMMYFUNCTION("""COMPUTED_VALUE"""),671.4)</f>
        <v>671.4</v>
      </c>
      <c r="C225" s="18">
        <f>IFERROR(__xludf.DUMMYFUNCTION("IFERROR(VLOOKUP($A225, GOOGLEFINANCE(C$1, ""price"", $A$2, TODAY()), 2, FALSE), """")"),139.39)</f>
        <v>139.39</v>
      </c>
      <c r="D225" s="18">
        <f>IFERROR(__xludf.DUMMYFUNCTION("IFERROR(VLOOKUP($A225, GOOGLEFINANCE(D$1, ""price"", $A$2, TODAY()), 2, FALSE), """")"),120.52)</f>
        <v>120.52</v>
      </c>
      <c r="E225" s="18">
        <f>IFERROR(__xludf.DUMMYFUNCTION("IFERROR(VLOOKUP($A225, GOOGLEFINANCE(E$1, ""price"", $A$2, TODAY()), 2, FALSE), """")"),54.63)</f>
        <v>54.63</v>
      </c>
      <c r="F225" s="18">
        <f>IFERROR(__xludf.DUMMYFUNCTION("IFERROR(VLOOKUP($A225, GOOGLEFINANCE(F$1, ""price"", $A$2, TODAY()), 2, FALSE), """")"),115.81)</f>
        <v>115.81</v>
      </c>
      <c r="G225" s="18">
        <f>IFERROR(__xludf.DUMMYFUNCTION("IFERROR(VLOOKUP($A225, GOOGLEFINANCE(G$1, ""price"", $A$2, TODAY()), 2, FALSE), """")"),153.79)</f>
        <v>153.79</v>
      </c>
      <c r="H225" s="18">
        <f>IFERROR(__xludf.DUMMYFUNCTION("IFERROR(VLOOKUP($A225, GOOGLEFINANCE(H$1, ""price"", $A$2, TODAY()), 2, FALSE), """")"),79.65)</f>
        <v>79.65</v>
      </c>
      <c r="I225" s="18">
        <f>IFERROR(__xludf.DUMMYFUNCTION("IFERROR(VLOOKUP($A225, GOOGLEFINANCE(I$1, ""price"", $A$2, TODAY()), 2, FALSE), """")"),153.53)</f>
        <v>153.53</v>
      </c>
      <c r="J225" s="18">
        <f>IFERROR(__xludf.DUMMYFUNCTION("IFERROR(VLOOKUP($A225, GOOGLEFINANCE(J$1, ""price"", $A$2, TODAY()), 2, FALSE), """")"),44.78)</f>
        <v>44.78</v>
      </c>
      <c r="K225" s="18">
        <f>IFERROR(__xludf.DUMMYFUNCTION("IFERROR(VLOOKUP($A225, GOOGLEFINANCE(K$1, ""price"", $A$2, TODAY()), 2, FALSE), """")"),45.19)</f>
        <v>45.19</v>
      </c>
      <c r="L225" s="18">
        <f>IFERROR(__xludf.DUMMYFUNCTION("IFERROR(VLOOKUP($A225, GOOGLEFINANCE(L$1, ""price"", $A$2, TODAY()), 2, FALSE), """")"),42.76)</f>
        <v>42.76</v>
      </c>
      <c r="M225" s="196">
        <f>IFERROR(__xludf.DUMMYFUNCTION("IFERROR(VLOOKUP($A225, GOOGLEFINANCE(M$1, ""price"", $A$2, TODAY()), 2, FALSE), """")"),40.73)</f>
        <v>40.73</v>
      </c>
      <c r="O225" s="18">
        <v>0.20761096216860292</v>
      </c>
      <c r="P225" s="18">
        <v>0.1795055108728031</v>
      </c>
      <c r="Q225" s="18">
        <v>0.08136729222520107</v>
      </c>
      <c r="R225" s="18">
        <v>0.17249031873696755</v>
      </c>
      <c r="S225" s="18">
        <v>0.22905868334822757</v>
      </c>
      <c r="T225" s="18">
        <v>0.11863270777479894</v>
      </c>
      <c r="U225" s="18">
        <v>0.2286714328269288</v>
      </c>
      <c r="V225" s="18">
        <v>0.06669645516830504</v>
      </c>
      <c r="W225" s="18">
        <v>0.06730711945189156</v>
      </c>
      <c r="X225" s="18">
        <v>0.06368781650282991</v>
      </c>
      <c r="Y225" s="196">
        <v>0.0606642835865356</v>
      </c>
      <c r="AA225" s="18">
        <v>-0.020297634573068546</v>
      </c>
      <c r="AB225" s="18">
        <v>0.010906392008857013</v>
      </c>
      <c r="AC225" s="18">
        <v>0.00797328559903665</v>
      </c>
      <c r="AD225" s="18">
        <v>0.008416176218372984</v>
      </c>
      <c r="AE225" s="18">
        <v>0.015003426251279484</v>
      </c>
      <c r="AF225" s="18">
        <v>0.04840820268261248</v>
      </c>
      <c r="AG225" s="18">
        <v>0.002350373301937214</v>
      </c>
      <c r="AH225" s="18">
        <v>0.037770987583827687</v>
      </c>
      <c r="AI225" s="18">
        <v>0.013688680785272522</v>
      </c>
      <c r="AJ225" s="18">
        <v>0.027068319486655223</v>
      </c>
      <c r="AK225" s="18">
        <v>0.03564312815213766</v>
      </c>
    </row>
    <row r="226">
      <c r="A226" s="230">
        <f>IFERROR(__xludf.DUMMYFUNCTION("""COMPUTED_VALUE"""),46009.66666666667)</f>
        <v>46009.66667</v>
      </c>
      <c r="B226" s="18">
        <f>IFERROR(__xludf.DUMMYFUNCTION("""COMPUTED_VALUE"""),676.47)</f>
        <v>676.47</v>
      </c>
      <c r="C226" s="18">
        <f>IFERROR(__xludf.DUMMYFUNCTION("IFERROR(VLOOKUP($A226, GOOGLEFINANCE(C$1, ""price"", $A$2, TODAY()), 2, FALSE), """")"),141.54)</f>
        <v>141.54</v>
      </c>
      <c r="D226" s="18">
        <f>IFERROR(__xludf.DUMMYFUNCTION("IFERROR(VLOOKUP($A226, GOOGLEFINANCE(D$1, ""price"", $A$2, TODAY()), 2, FALSE), """")"),122.34)</f>
        <v>122.34</v>
      </c>
      <c r="E226" s="18">
        <f>IFERROR(__xludf.DUMMYFUNCTION("IFERROR(VLOOKUP($A226, GOOGLEFINANCE(E$1, ""price"", $A$2, TODAY()), 2, FALSE), """")"),54.54)</f>
        <v>54.54</v>
      </c>
      <c r="F226" s="18">
        <f>IFERROR(__xludf.DUMMYFUNCTION("IFERROR(VLOOKUP($A226, GOOGLEFINANCE(F$1, ""price"", $A$2, TODAY()), 2, FALSE), """")"),116.47)</f>
        <v>116.47</v>
      </c>
      <c r="G226" s="18">
        <f>IFERROR(__xludf.DUMMYFUNCTION("IFERROR(VLOOKUP($A226, GOOGLEFINANCE(G$1, ""price"", $A$2, TODAY()), 2, FALSE), """")"),153.91)</f>
        <v>153.91</v>
      </c>
      <c r="H226" s="18">
        <f>IFERROR(__xludf.DUMMYFUNCTION("IFERROR(VLOOKUP($A226, GOOGLEFINANCE(H$1, ""price"", $A$2, TODAY()), 2, FALSE), """")"),79.19)</f>
        <v>79.19</v>
      </c>
      <c r="I226" s="18">
        <f>IFERROR(__xludf.DUMMYFUNCTION("IFERROR(VLOOKUP($A226, GOOGLEFINANCE(I$1, ""price"", $A$2, TODAY()), 2, FALSE), """")"),154.53)</f>
        <v>154.53</v>
      </c>
      <c r="J226" s="18">
        <f>IFERROR(__xludf.DUMMYFUNCTION("IFERROR(VLOOKUP($A226, GOOGLEFINANCE(J$1, ""price"", $A$2, TODAY()), 2, FALSE), """")"),44.13)</f>
        <v>44.13</v>
      </c>
      <c r="K226" s="18">
        <f>IFERROR(__xludf.DUMMYFUNCTION("IFERROR(VLOOKUP($A226, GOOGLEFINANCE(K$1, ""price"", $A$2, TODAY()), 2, FALSE), """")"),45.17)</f>
        <v>45.17</v>
      </c>
      <c r="L226" s="18">
        <f>IFERROR(__xludf.DUMMYFUNCTION("IFERROR(VLOOKUP($A226, GOOGLEFINANCE(L$1, ""price"", $A$2, TODAY()), 2, FALSE), """")"),43.18)</f>
        <v>43.18</v>
      </c>
      <c r="M226" s="196">
        <f>IFERROR(__xludf.DUMMYFUNCTION("IFERROR(VLOOKUP($A226, GOOGLEFINANCE(M$1, ""price"", $A$2, TODAY()), 2, FALSE), """")"),40.48)</f>
        <v>40.48</v>
      </c>
      <c r="O226" s="18">
        <v>0.20923322542019598</v>
      </c>
      <c r="P226" s="18">
        <v>0.1808505920439931</v>
      </c>
      <c r="Q226" s="18">
        <v>0.08062441793427647</v>
      </c>
      <c r="R226" s="18">
        <v>0.17217319319408103</v>
      </c>
      <c r="S226" s="18">
        <v>0.22751932827767674</v>
      </c>
      <c r="T226" s="18">
        <v>0.117063580055287</v>
      </c>
      <c r="U226" s="18">
        <v>0.22843585081378331</v>
      </c>
      <c r="V226" s="18">
        <v>0.06523570890061643</v>
      </c>
      <c r="W226" s="18">
        <v>0.06677310154182743</v>
      </c>
      <c r="X226" s="18">
        <v>0.06383135985335639</v>
      </c>
      <c r="Y226" s="196">
        <v>0.05984005203482785</v>
      </c>
      <c r="AA226" s="18">
        <v>-0.014292036853780998</v>
      </c>
      <c r="AB226" s="18">
        <v>0.022883836082661757</v>
      </c>
      <c r="AC226" s="18">
        <v>6.444074831064572E-4</v>
      </c>
      <c r="AD226" s="18">
        <v>0.007483911111350938</v>
      </c>
      <c r="AE226" s="18">
        <v>0.006465027256411515</v>
      </c>
      <c r="AF226" s="18">
        <v>0.03298171990240517</v>
      </c>
      <c r="AG226" s="18">
        <v>0.00306311414835414</v>
      </c>
      <c r="AH226" s="18">
        <v>0.018843036452138584</v>
      </c>
      <c r="AI226" s="18">
        <v>-3.4396605207354103E-4</v>
      </c>
      <c r="AJ226" s="18">
        <v>0.030000608236803394</v>
      </c>
      <c r="AK226" s="18">
        <v>0.019451784801628902</v>
      </c>
    </row>
    <row r="227">
      <c r="A227" s="230">
        <f>IFERROR(__xludf.DUMMYFUNCTION("""COMPUTED_VALUE"""),46010.66666666667)</f>
        <v>46010.66667</v>
      </c>
      <c r="B227" s="18">
        <f>IFERROR(__xludf.DUMMYFUNCTION("""COMPUTED_VALUE"""),680.59)</f>
        <v>680.59</v>
      </c>
      <c r="C227" s="18">
        <f>IFERROR(__xludf.DUMMYFUNCTION("IFERROR(VLOOKUP($A227, GOOGLEFINANCE(C$1, ""price"", $A$2, TODAY()), 2, FALSE), """")"),144.6)</f>
        <v>144.6</v>
      </c>
      <c r="D227" s="18">
        <f>IFERROR(__xludf.DUMMYFUNCTION("IFERROR(VLOOKUP($A227, GOOGLEFINANCE(D$1, ""price"", $A$2, TODAY()), 2, FALSE), """")"),121.85)</f>
        <v>121.85</v>
      </c>
      <c r="E227" s="18">
        <f>IFERROR(__xludf.DUMMYFUNCTION("IFERROR(VLOOKUP($A227, GOOGLEFINANCE(E$1, ""price"", $A$2, TODAY()), 2, FALSE), """")"),54.84)</f>
        <v>54.84</v>
      </c>
      <c r="F227" s="18">
        <f>IFERROR(__xludf.DUMMYFUNCTION("IFERROR(VLOOKUP($A227, GOOGLEFINANCE(F$1, ""price"", $A$2, TODAY()), 2, FALSE), """")"),116.52)</f>
        <v>116.52</v>
      </c>
      <c r="G227" s="18">
        <f>IFERROR(__xludf.DUMMYFUNCTION("IFERROR(VLOOKUP($A227, GOOGLEFINANCE(G$1, ""price"", $A$2, TODAY()), 2, FALSE), """")"),154.94)</f>
        <v>154.94</v>
      </c>
      <c r="H227" s="18">
        <f>IFERROR(__xludf.DUMMYFUNCTION("IFERROR(VLOOKUP($A227, GOOGLEFINANCE(H$1, ""price"", $A$2, TODAY()), 2, FALSE), """")"),78.78)</f>
        <v>78.78</v>
      </c>
      <c r="I227" s="18">
        <f>IFERROR(__xludf.DUMMYFUNCTION("IFERROR(VLOOKUP($A227, GOOGLEFINANCE(I$1, ""price"", $A$2, TODAY()), 2, FALSE), """")"),155.86)</f>
        <v>155.86</v>
      </c>
      <c r="J227" s="18">
        <f>IFERROR(__xludf.DUMMYFUNCTION("IFERROR(VLOOKUP($A227, GOOGLEFINANCE(J$1, ""price"", $A$2, TODAY()), 2, FALSE), """")"),44.13)</f>
        <v>44.13</v>
      </c>
      <c r="K227" s="18">
        <f>IFERROR(__xludf.DUMMYFUNCTION("IFERROR(VLOOKUP($A227, GOOGLEFINANCE(K$1, ""price"", $A$2, TODAY()), 2, FALSE), """")"),45.37)</f>
        <v>45.37</v>
      </c>
      <c r="L227" s="18">
        <f>IFERROR(__xludf.DUMMYFUNCTION("IFERROR(VLOOKUP($A227, GOOGLEFINANCE(L$1, ""price"", $A$2, TODAY()), 2, FALSE), """")"),42.63)</f>
        <v>42.63</v>
      </c>
      <c r="M227" s="196">
        <f>IFERROR(__xludf.DUMMYFUNCTION("IFERROR(VLOOKUP($A227, GOOGLEFINANCE(M$1, ""price"", $A$2, TODAY()), 2, FALSE), """")"),40.33)</f>
        <v>40.33</v>
      </c>
      <c r="O227" s="18">
        <v>0.21246271617273246</v>
      </c>
      <c r="P227" s="18">
        <v>0.1790358365535785</v>
      </c>
      <c r="Q227" s="18">
        <v>0.08057714629953423</v>
      </c>
      <c r="R227" s="18">
        <v>0.17120439618566244</v>
      </c>
      <c r="S227" s="18">
        <v>0.22765541662381167</v>
      </c>
      <c r="T227" s="18">
        <v>0.11575250885261316</v>
      </c>
      <c r="U227" s="18">
        <v>0.22900718494247638</v>
      </c>
      <c r="V227" s="18">
        <v>0.06484079989420943</v>
      </c>
      <c r="W227" s="18">
        <v>0.06666274849762706</v>
      </c>
      <c r="X227" s="18">
        <v>0.06263682980943006</v>
      </c>
      <c r="Y227" s="196">
        <v>0.059257409012768325</v>
      </c>
      <c r="AA227" s="18">
        <v>0.0018679599603348418</v>
      </c>
      <c r="AB227" s="18">
        <v>0.01903020416532053</v>
      </c>
      <c r="AC227" s="18">
        <v>0.001897868440611461</v>
      </c>
      <c r="AD227" s="18">
        <v>-0.0010777511552472196</v>
      </c>
      <c r="AE227" s="18">
        <v>0.005023928661118449</v>
      </c>
      <c r="AF227" s="18">
        <v>0.017122677749999538</v>
      </c>
      <c r="AG227" s="18">
        <v>0.004160082633278384</v>
      </c>
      <c r="AH227" s="18">
        <v>-4.315507119684314E-4</v>
      </c>
      <c r="AI227" s="18">
        <v>0.0024917261498200727</v>
      </c>
      <c r="AJ227" s="18">
        <v>0.005243662725535891</v>
      </c>
      <c r="AK227" s="18">
        <v>0.0032047450020351587</v>
      </c>
    </row>
    <row r="228">
      <c r="A228" s="230">
        <f>IFERROR(__xludf.DUMMYFUNCTION("""COMPUTED_VALUE"""),46013.66666666667)</f>
        <v>46013.66667</v>
      </c>
      <c r="B228" s="18">
        <f>IFERROR(__xludf.DUMMYFUNCTION("""COMPUTED_VALUE"""),684.83)</f>
        <v>684.83</v>
      </c>
      <c r="C228" s="18">
        <f>IFERROR(__xludf.DUMMYFUNCTION("IFERROR(VLOOKUP($A228, GOOGLEFINANCE(C$1, ""price"", $A$2, TODAY()), 2, FALSE), """")"),145.16)</f>
        <v>145.16</v>
      </c>
      <c r="D228" s="18">
        <f>IFERROR(__xludf.DUMMYFUNCTION("IFERROR(VLOOKUP($A228, GOOGLEFINANCE(D$1, ""price"", $A$2, TODAY()), 2, FALSE), """")"),122.34)</f>
        <v>122.34</v>
      </c>
      <c r="E228" s="18">
        <f>IFERROR(__xludf.DUMMYFUNCTION("IFERROR(VLOOKUP($A228, GOOGLEFINANCE(E$1, ""price"", $A$2, TODAY()), 2, FALSE), """")"),55.32)</f>
        <v>55.32</v>
      </c>
      <c r="F228" s="18">
        <f>IFERROR(__xludf.DUMMYFUNCTION("IFERROR(VLOOKUP($A228, GOOGLEFINANCE(F$1, ""price"", $A$2, TODAY()), 2, FALSE), """")"),116.66)</f>
        <v>116.66</v>
      </c>
      <c r="G228" s="18">
        <f>IFERROR(__xludf.DUMMYFUNCTION("IFERROR(VLOOKUP($A228, GOOGLEFINANCE(G$1, ""price"", $A$2, TODAY()), 2, FALSE), """")"),155.3)</f>
        <v>155.3</v>
      </c>
      <c r="H228" s="18">
        <f>IFERROR(__xludf.DUMMYFUNCTION("IFERROR(VLOOKUP($A228, GOOGLEFINANCE(H$1, ""price"", $A$2, TODAY()), 2, FALSE), """")"),77.88)</f>
        <v>77.88</v>
      </c>
      <c r="I228" s="18">
        <f>IFERROR(__xludf.DUMMYFUNCTION("IFERROR(VLOOKUP($A228, GOOGLEFINANCE(I$1, ""price"", $A$2, TODAY()), 2, FALSE), """")"),157.05)</f>
        <v>157.05</v>
      </c>
      <c r="J228" s="18">
        <f>IFERROR(__xludf.DUMMYFUNCTION("IFERROR(VLOOKUP($A228, GOOGLEFINANCE(J$1, ""price"", $A$2, TODAY()), 2, FALSE), """")"),44.21)</f>
        <v>44.21</v>
      </c>
      <c r="K228" s="18">
        <f>IFERROR(__xludf.DUMMYFUNCTION("IFERROR(VLOOKUP($A228, GOOGLEFINANCE(K$1, ""price"", $A$2, TODAY()), 2, FALSE), """")"),45.67)</f>
        <v>45.67</v>
      </c>
      <c r="L228" s="18">
        <f>IFERROR(__xludf.DUMMYFUNCTION("IFERROR(VLOOKUP($A228, GOOGLEFINANCE(L$1, ""price"", $A$2, TODAY()), 2, FALSE), """")"),42.47)</f>
        <v>42.47</v>
      </c>
      <c r="M228" s="196">
        <f>IFERROR(__xludf.DUMMYFUNCTION("IFERROR(VLOOKUP($A228, GOOGLEFINANCE(M$1, ""price"", $A$2, TODAY()), 2, FALSE), """")"),40.19)</f>
        <v>40.19</v>
      </c>
      <c r="O228" s="18">
        <v>0.21196501321495845</v>
      </c>
      <c r="P228" s="18">
        <v>0.17864287487405633</v>
      </c>
      <c r="Q228" s="18">
        <v>0.08077917147321233</v>
      </c>
      <c r="R228" s="18">
        <v>0.17034884569893258</v>
      </c>
      <c r="S228" s="18">
        <v>0.22677160755223924</v>
      </c>
      <c r="T228" s="18">
        <v>0.11372165354905596</v>
      </c>
      <c r="U228" s="18">
        <v>0.22932698625936365</v>
      </c>
      <c r="V228" s="18">
        <v>0.0645561672239826</v>
      </c>
      <c r="W228" s="18">
        <v>0.06668808317392637</v>
      </c>
      <c r="X228" s="18">
        <v>0.0620153906808989</v>
      </c>
      <c r="Y228" s="196">
        <v>0.05868609727961683</v>
      </c>
      <c r="AA228" s="18">
        <v>0.0014585223080159082</v>
      </c>
      <c r="AB228" s="18">
        <v>0.019686286700111744</v>
      </c>
      <c r="AC228" s="18">
        <v>0.005728499344175519</v>
      </c>
      <c r="AD228" s="18">
        <v>-0.010640286722261694</v>
      </c>
      <c r="AE228" s="18">
        <v>7.34597279444138E-4</v>
      </c>
      <c r="AF228" s="18">
        <v>-2.8262054079430943E-4</v>
      </c>
      <c r="AG228" s="18">
        <v>0.007223710715032805</v>
      </c>
      <c r="AH228" s="18">
        <v>-0.013551324631933315</v>
      </c>
      <c r="AI228" s="18">
        <v>0.0018670461692358309</v>
      </c>
      <c r="AJ228" s="18">
        <v>-0.008258995538073743</v>
      </c>
      <c r="AK228" s="18">
        <v>-0.0098738778961307</v>
      </c>
    </row>
    <row r="229">
      <c r="A229" s="230">
        <f>IFERROR(__xludf.DUMMYFUNCTION("""COMPUTED_VALUE"""),46014.66666666667)</f>
        <v>46014.66667</v>
      </c>
      <c r="B229" s="18">
        <f>IFERROR(__xludf.DUMMYFUNCTION("""COMPUTED_VALUE"""),687.96)</f>
        <v>687.96</v>
      </c>
      <c r="C229" s="18">
        <f>IFERROR(__xludf.DUMMYFUNCTION("IFERROR(VLOOKUP($A229, GOOGLEFINANCE(C$1, ""price"", $A$2, TODAY()), 2, FALSE), """")"),145.95)</f>
        <v>145.95</v>
      </c>
      <c r="D229" s="18">
        <f>IFERROR(__xludf.DUMMYFUNCTION("IFERROR(VLOOKUP($A229, GOOGLEFINANCE(D$1, ""price"", $A$2, TODAY()), 2, FALSE), """")"),122.17)</f>
        <v>122.17</v>
      </c>
      <c r="E229" s="18">
        <f>IFERROR(__xludf.DUMMYFUNCTION("IFERROR(VLOOKUP($A229, GOOGLEFINANCE(E$1, ""price"", $A$2, TODAY()), 2, FALSE), """")"),55.43)</f>
        <v>55.43</v>
      </c>
      <c r="F229" s="18">
        <f>IFERROR(__xludf.DUMMYFUNCTION("IFERROR(VLOOKUP($A229, GOOGLEFINANCE(F$1, ""price"", $A$2, TODAY()), 2, FALSE), """")"),117.39)</f>
        <v>117.39</v>
      </c>
      <c r="G229" s="18">
        <f>IFERROR(__xludf.DUMMYFUNCTION("IFERROR(VLOOKUP($A229, GOOGLEFINANCE(G$1, ""price"", $A$2, TODAY()), 2, FALSE), """")"),154.99)</f>
        <v>154.99</v>
      </c>
      <c r="H229" s="18">
        <f>IFERROR(__xludf.DUMMYFUNCTION("IFERROR(VLOOKUP($A229, GOOGLEFINANCE(H$1, ""price"", $A$2, TODAY()), 2, FALSE), """")"),77.51)</f>
        <v>77.51</v>
      </c>
      <c r="I229" s="18">
        <f>IFERROR(__xludf.DUMMYFUNCTION("IFERROR(VLOOKUP($A229, GOOGLEFINANCE(I$1, ""price"", $A$2, TODAY()), 2, FALSE), """")"),156.99)</f>
        <v>156.99</v>
      </c>
      <c r="J229" s="18">
        <f>IFERROR(__xludf.DUMMYFUNCTION("IFERROR(VLOOKUP($A229, GOOGLEFINANCE(J$1, ""price"", $A$2, TODAY()), 2, FALSE), """")"),44.5)</f>
        <v>44.5</v>
      </c>
      <c r="K229" s="18">
        <f>IFERROR(__xludf.DUMMYFUNCTION("IFERROR(VLOOKUP($A229, GOOGLEFINANCE(K$1, ""price"", $A$2, TODAY()), 2, FALSE), """")"),45.75)</f>
        <v>45.75</v>
      </c>
      <c r="L229" s="18">
        <f>IFERROR(__xludf.DUMMYFUNCTION("IFERROR(VLOOKUP($A229, GOOGLEFINANCE(L$1, ""price"", $A$2, TODAY()), 2, FALSE), """")"),42.62)</f>
        <v>42.62</v>
      </c>
      <c r="M229" s="196">
        <f>IFERROR(__xludf.DUMMYFUNCTION("IFERROR(VLOOKUP($A229, GOOGLEFINANCE(M$1, ""price"", $A$2, TODAY()), 2, FALSE), """")"),40.18)</f>
        <v>40.18</v>
      </c>
      <c r="O229" s="18">
        <v>0.21214896214896212</v>
      </c>
      <c r="P229" s="18">
        <v>0.17758299901157043</v>
      </c>
      <c r="Q229" s="18">
        <v>0.08057154485725913</v>
      </c>
      <c r="R229" s="18">
        <v>0.17063492063492064</v>
      </c>
      <c r="S229" s="18">
        <v>0.2252892610035467</v>
      </c>
      <c r="T229" s="18">
        <v>0.11266643409500553</v>
      </c>
      <c r="U229" s="18">
        <v>0.22819640676783534</v>
      </c>
      <c r="V229" s="18">
        <v>0.06468399325542182</v>
      </c>
      <c r="W229" s="18">
        <v>0.06650095935810221</v>
      </c>
      <c r="X229" s="18">
        <v>0.06195127623699052</v>
      </c>
      <c r="Y229" s="196">
        <v>0.0584045584045584</v>
      </c>
      <c r="AA229" s="18">
        <v>0.004852540589152188</v>
      </c>
      <c r="AB229" s="18">
        <v>0.014131133790889372</v>
      </c>
      <c r="AC229" s="18">
        <v>0.0031650149545763284</v>
      </c>
      <c r="AD229" s="18">
        <v>-0.011558230722348961</v>
      </c>
      <c r="AE229" s="18">
        <v>-0.0075629659978129204</v>
      </c>
      <c r="AF229" s="18">
        <v>-0.010948831899251332</v>
      </c>
      <c r="AG229" s="18">
        <v>0.0031697634291016907</v>
      </c>
      <c r="AH229" s="18">
        <v>-0.01343527889203211</v>
      </c>
      <c r="AI229" s="18">
        <v>-3.673196301967607E-5</v>
      </c>
      <c r="AJ229" s="18">
        <v>-0.010404912355854501</v>
      </c>
      <c r="AK229" s="18">
        <v>-0.012955725719046796</v>
      </c>
    </row>
    <row r="230">
      <c r="A230" s="230">
        <f>IFERROR(__xludf.DUMMYFUNCTION("""COMPUTED_VALUE"""),46015.54166666667)</f>
        <v>46015.54167</v>
      </c>
      <c r="B230" s="18">
        <f>IFERROR(__xludf.DUMMYFUNCTION("""COMPUTED_VALUE"""),690.38)</f>
        <v>690.38</v>
      </c>
      <c r="C230" s="18">
        <f>IFERROR(__xludf.DUMMYFUNCTION("IFERROR(VLOOKUP($A230, GOOGLEFINANCE(C$1, ""price"", $A$2, TODAY()), 2, FALSE), """")"),146.3)</f>
        <v>146.3</v>
      </c>
      <c r="D230" s="18">
        <f>IFERROR(__xludf.DUMMYFUNCTION("IFERROR(VLOOKUP($A230, GOOGLEFINANCE(D$1, ""price"", $A$2, TODAY()), 2, FALSE), """")"),122.59)</f>
        <v>122.59</v>
      </c>
      <c r="E230" s="18">
        <f>IFERROR(__xludf.DUMMYFUNCTION("IFERROR(VLOOKUP($A230, GOOGLEFINANCE(E$1, ""price"", $A$2, TODAY()), 2, FALSE), """")"),55.73)</f>
        <v>55.73</v>
      </c>
      <c r="F230" s="18">
        <f>IFERROR(__xludf.DUMMYFUNCTION("IFERROR(VLOOKUP($A230, GOOGLEFINANCE(F$1, ""price"", $A$2, TODAY()), 2, FALSE), """")"),118.09)</f>
        <v>118.09</v>
      </c>
      <c r="G230" s="18">
        <f>IFERROR(__xludf.DUMMYFUNCTION("IFERROR(VLOOKUP($A230, GOOGLEFINANCE(G$1, ""price"", $A$2, TODAY()), 2, FALSE), """")"),155.8)</f>
        <v>155.8</v>
      </c>
      <c r="H230" s="18">
        <f>IFERROR(__xludf.DUMMYFUNCTION("IFERROR(VLOOKUP($A230, GOOGLEFINANCE(H$1, ""price"", $A$2, TODAY()), 2, FALSE), """")"),78.12)</f>
        <v>78.12</v>
      </c>
      <c r="I230" s="18">
        <f>IFERROR(__xludf.DUMMYFUNCTION("IFERROR(VLOOKUP($A230, GOOGLEFINANCE(I$1, ""price"", $A$2, TODAY()), 2, FALSE), """")"),157.5)</f>
        <v>157.5</v>
      </c>
      <c r="J230" s="18">
        <f>IFERROR(__xludf.DUMMYFUNCTION("IFERROR(VLOOKUP($A230, GOOGLEFINANCE(J$1, ""price"", $A$2, TODAY()), 2, FALSE), """")"),44.37)</f>
        <v>44.37</v>
      </c>
      <c r="K230" s="18">
        <f>IFERROR(__xludf.DUMMYFUNCTION("IFERROR(VLOOKUP($A230, GOOGLEFINANCE(K$1, ""price"", $A$2, TODAY()), 2, FALSE), """")"),45.84)</f>
        <v>45.84</v>
      </c>
      <c r="L230" s="18">
        <f>IFERROR(__xludf.DUMMYFUNCTION("IFERROR(VLOOKUP($A230, GOOGLEFINANCE(L$1, ""price"", $A$2, TODAY()), 2, FALSE), """")"),42.81)</f>
        <v>42.81</v>
      </c>
      <c r="M230" s="196">
        <f>IFERROR(__xludf.DUMMYFUNCTION("IFERROR(VLOOKUP($A230, GOOGLEFINANCE(M$1, ""price"", $A$2, TODAY()), 2, FALSE), """")"),40.44)</f>
        <v>40.44</v>
      </c>
      <c r="O230" s="18">
        <v>0.21191228019351663</v>
      </c>
      <c r="P230" s="18">
        <v>0.17756887511225702</v>
      </c>
      <c r="Q230" s="18">
        <v>0.08072365943393493</v>
      </c>
      <c r="R230" s="18">
        <v>0.17105072568730265</v>
      </c>
      <c r="S230" s="18">
        <v>0.2256728178684203</v>
      </c>
      <c r="T230" s="18">
        <v>0.11315507401720792</v>
      </c>
      <c r="U230" s="18">
        <v>0.22813522987340307</v>
      </c>
      <c r="V230" s="18">
        <v>0.06426895333005012</v>
      </c>
      <c r="W230" s="18">
        <v>0.06639821547553522</v>
      </c>
      <c r="X230" s="18">
        <v>0.06200932819606594</v>
      </c>
      <c r="Y230" s="196">
        <v>0.05857643616558996</v>
      </c>
      <c r="AA230" s="18">
        <v>0.0032717426181894105</v>
      </c>
      <c r="AB230" s="18">
        <v>0.02500826709286552</v>
      </c>
      <c r="AC230" s="18">
        <v>0.003968367294398867</v>
      </c>
      <c r="AD230" s="18">
        <v>-3.701944585582373E-4</v>
      </c>
      <c r="AE230" s="18">
        <v>-0.008598167428662484</v>
      </c>
      <c r="AF230" s="18">
        <v>-0.004966508992972907</v>
      </c>
      <c r="AG230" s="18">
        <v>-0.013450151964724877</v>
      </c>
      <c r="AH230" s="18">
        <v>-0.03819012384468057</v>
      </c>
      <c r="AI230" s="18">
        <v>-0.01645123880265842</v>
      </c>
      <c r="AJ230" s="18">
        <v>-0.01892281742227042</v>
      </c>
      <c r="AK230" s="18">
        <v>-0.008973157621444128</v>
      </c>
    </row>
    <row r="231">
      <c r="A231" s="230">
        <f>IFERROR(__xludf.DUMMYFUNCTION("""COMPUTED_VALUE"""),46017.66666666667)</f>
        <v>46017.66667</v>
      </c>
      <c r="B231" s="18">
        <f>IFERROR(__xludf.DUMMYFUNCTION("""COMPUTED_VALUE"""),690.31)</f>
        <v>690.31</v>
      </c>
      <c r="C231" s="18">
        <f>IFERROR(__xludf.DUMMYFUNCTION("IFERROR(VLOOKUP($A231, GOOGLEFINANCE(C$1, ""price"", $A$2, TODAY()), 2, FALSE), """")"),146.53)</f>
        <v>146.53</v>
      </c>
      <c r="D231" s="18">
        <f>IFERROR(__xludf.DUMMYFUNCTION("IFERROR(VLOOKUP($A231, GOOGLEFINANCE(D$1, ""price"", $A$2, TODAY()), 2, FALSE), """")"),122.05)</f>
        <v>122.05</v>
      </c>
      <c r="E231" s="18">
        <f>IFERROR(__xludf.DUMMYFUNCTION("IFERROR(VLOOKUP($A231, GOOGLEFINANCE(E$1, ""price"", $A$2, TODAY()), 2, FALSE), """")"),55.62)</f>
        <v>55.62</v>
      </c>
      <c r="F231" s="18">
        <f>IFERROR(__xludf.DUMMYFUNCTION("IFERROR(VLOOKUP($A231, GOOGLEFINANCE(F$1, ""price"", $A$2, TODAY()), 2, FALSE), """")"),117.97)</f>
        <v>117.97</v>
      </c>
      <c r="G231" s="18">
        <f>IFERROR(__xludf.DUMMYFUNCTION("IFERROR(VLOOKUP($A231, GOOGLEFINANCE(G$1, ""price"", $A$2, TODAY()), 2, FALSE), """")"),156.05)</f>
        <v>156.05</v>
      </c>
      <c r="H231" s="18">
        <f>IFERROR(__xludf.DUMMYFUNCTION("IFERROR(VLOOKUP($A231, GOOGLEFINANCE(H$1, ""price"", $A$2, TODAY()), 2, FALSE), """")"),78.23)</f>
        <v>78.23</v>
      </c>
      <c r="I231" s="18">
        <f>IFERROR(__xludf.DUMMYFUNCTION("IFERROR(VLOOKUP($A231, GOOGLEFINANCE(I$1, ""price"", $A$2, TODAY()), 2, FALSE), """")"),157.21)</f>
        <v>157.21</v>
      </c>
      <c r="J231" s="18">
        <f>IFERROR(__xludf.DUMMYFUNCTION("IFERROR(VLOOKUP($A231, GOOGLEFINANCE(J$1, ""price"", $A$2, TODAY()), 2, FALSE), """")"),44.2)</f>
        <v>44.2</v>
      </c>
      <c r="K231" s="18">
        <f>IFERROR(__xludf.DUMMYFUNCTION("IFERROR(VLOOKUP($A231, GOOGLEFINANCE(K$1, ""price"", $A$2, TODAY()), 2, FALSE), """")"),46.11)</f>
        <v>46.11</v>
      </c>
      <c r="L231" s="18">
        <f>IFERROR(__xludf.DUMMYFUNCTION("IFERROR(VLOOKUP($A231, GOOGLEFINANCE(L$1, ""price"", $A$2, TODAY()), 2, FALSE), """")"),42.78)</f>
        <v>42.78</v>
      </c>
      <c r="M231" s="196">
        <f>IFERROR(__xludf.DUMMYFUNCTION("IFERROR(VLOOKUP($A231, GOOGLEFINANCE(M$1, ""price"", $A$2, TODAY()), 2, FALSE), """")"),40.52)</f>
        <v>40.52</v>
      </c>
      <c r="O231" s="18">
        <v>0.21226695252857414</v>
      </c>
      <c r="P231" s="18">
        <v>0.17680462400950298</v>
      </c>
      <c r="Q231" s="18">
        <v>0.08057249641465429</v>
      </c>
      <c r="R231" s="18">
        <v>0.17089423592299113</v>
      </c>
      <c r="S231" s="18">
        <v>0.2260578580637685</v>
      </c>
      <c r="T231" s="18">
        <v>0.11332589706074084</v>
      </c>
      <c r="U231" s="18">
        <v>0.22773826251973753</v>
      </c>
      <c r="V231" s="18">
        <v>0.06402920427054512</v>
      </c>
      <c r="W231" s="18">
        <v>0.06679607712477004</v>
      </c>
      <c r="X231" s="18">
        <v>0.06197215743651403</v>
      </c>
      <c r="Y231" s="196">
        <v>0.05869826599643639</v>
      </c>
      <c r="AA231" s="18">
        <v>0.009405535838411083</v>
      </c>
      <c r="AB231" s="18">
        <v>0.010740449075772096</v>
      </c>
      <c r="AC231" s="18">
        <v>-0.012803897482878246</v>
      </c>
      <c r="AD231" s="18">
        <v>-0.00189058234429329</v>
      </c>
      <c r="AE231" s="18">
        <v>0.0027380685475675293</v>
      </c>
      <c r="AF231" s="18">
        <v>0.007582235638173174</v>
      </c>
      <c r="AG231" s="18">
        <v>-0.020205455739293665</v>
      </c>
      <c r="AH231" s="18">
        <v>-0.06090500403200483</v>
      </c>
      <c r="AI231" s="18">
        <v>-0.013804247311145379</v>
      </c>
      <c r="AJ231" s="18">
        <v>-0.0018854306267113152</v>
      </c>
      <c r="AK231" s="18">
        <v>-0.00153421985977642</v>
      </c>
    </row>
    <row r="232">
      <c r="A232" s="230">
        <f>IFERROR(__xludf.DUMMYFUNCTION("""COMPUTED_VALUE"""),46020.66666666667)</f>
        <v>46020.66667</v>
      </c>
      <c r="B232" s="18">
        <f>IFERROR(__xludf.DUMMYFUNCTION("""COMPUTED_VALUE"""),687.85)</f>
        <v>687.85</v>
      </c>
      <c r="C232" s="18">
        <f>IFERROR(__xludf.DUMMYFUNCTION("IFERROR(VLOOKUP($A232, GOOGLEFINANCE(C$1, ""price"", $A$2, TODAY()), 2, FALSE), """")"),145.87)</f>
        <v>145.87</v>
      </c>
      <c r="D232" s="18">
        <f>IFERROR(__xludf.DUMMYFUNCTION("IFERROR(VLOOKUP($A232, GOOGLEFINANCE(D$1, ""price"", $A$2, TODAY()), 2, FALSE), """")"),120.85)</f>
        <v>120.85</v>
      </c>
      <c r="E232" s="18">
        <f>IFERROR(__xludf.DUMMYFUNCTION("IFERROR(VLOOKUP($A232, GOOGLEFINANCE(E$1, ""price"", $A$2, TODAY()), 2, FALSE), """")"),55.32)</f>
        <v>55.32</v>
      </c>
      <c r="F232" s="18">
        <f>IFERROR(__xludf.DUMMYFUNCTION("IFERROR(VLOOKUP($A232, GOOGLEFINANCE(F$1, ""price"", $A$2, TODAY()), 2, FALSE), """")"),117.89)</f>
        <v>117.89</v>
      </c>
      <c r="G232" s="18">
        <f>IFERROR(__xludf.DUMMYFUNCTION("IFERROR(VLOOKUP($A232, GOOGLEFINANCE(G$1, ""price"", $A$2, TODAY()), 2, FALSE), """")"),155.81)</f>
        <v>155.81</v>
      </c>
      <c r="H232" s="18">
        <f>IFERROR(__xludf.DUMMYFUNCTION("IFERROR(VLOOKUP($A232, GOOGLEFINANCE(H$1, ""price"", $A$2, TODAY()), 2, FALSE), """")"),78.28)</f>
        <v>78.28</v>
      </c>
      <c r="I232" s="18">
        <f>IFERROR(__xludf.DUMMYFUNCTION("IFERROR(VLOOKUP($A232, GOOGLEFINANCE(I$1, ""price"", $A$2, TODAY()), 2, FALSE), """")"),156.87)</f>
        <v>156.87</v>
      </c>
      <c r="J232" s="18">
        <f>IFERROR(__xludf.DUMMYFUNCTION("IFERROR(VLOOKUP($A232, GOOGLEFINANCE(J$1, ""price"", $A$2, TODAY()), 2, FALSE), """")"),44.62)</f>
        <v>44.62</v>
      </c>
      <c r="K232" s="18">
        <f>IFERROR(__xludf.DUMMYFUNCTION("IFERROR(VLOOKUP($A232, GOOGLEFINANCE(K$1, ""price"", $A$2, TODAY()), 2, FALSE), """")"),45.74)</f>
        <v>45.74</v>
      </c>
      <c r="L232" s="18">
        <f>IFERROR(__xludf.DUMMYFUNCTION("IFERROR(VLOOKUP($A232, GOOGLEFINANCE(L$1, ""price"", $A$2, TODAY()), 2, FALSE), """")"),42.86)</f>
        <v>42.86</v>
      </c>
      <c r="M232" s="196">
        <f>IFERROR(__xludf.DUMMYFUNCTION("IFERROR(VLOOKUP($A232, GOOGLEFINANCE(M$1, ""price"", $A$2, TODAY()), 2, FALSE), """")"),40.63)</f>
        <v>40.63</v>
      </c>
      <c r="O232" s="18">
        <v>0.2120665842843643</v>
      </c>
      <c r="P232" s="18">
        <v>0.17569237479101546</v>
      </c>
      <c r="Q232" s="18">
        <v>0.08042451115795594</v>
      </c>
      <c r="R232" s="18">
        <v>0.17138911099803736</v>
      </c>
      <c r="S232" s="18">
        <v>0.2265174093188922</v>
      </c>
      <c r="T232" s="18">
        <v>0.11380388166024569</v>
      </c>
      <c r="U232" s="18">
        <v>0.22805844297448571</v>
      </c>
      <c r="V232" s="18">
        <v>0.06486879406847422</v>
      </c>
      <c r="W232" s="18">
        <v>0.06649705604419569</v>
      </c>
      <c r="X232" s="18">
        <v>0.0623100966780548</v>
      </c>
      <c r="Y232" s="196">
        <v>0.059068110779966564</v>
      </c>
      <c r="AA232" s="18">
        <v>4.0766228275512795E-4</v>
      </c>
      <c r="AB232" s="18">
        <v>0.003929477196435105</v>
      </c>
      <c r="AC232" s="18">
        <v>-0.013502108791037304</v>
      </c>
      <c r="AD232" s="18">
        <v>0.010557409695322928</v>
      </c>
      <c r="AE232" s="18">
        <v>-0.008748124859872308</v>
      </c>
      <c r="AF232" s="18">
        <v>0.016272923342901313</v>
      </c>
      <c r="AG232" s="18">
        <v>-0.026212125452543256</v>
      </c>
      <c r="AH232" s="18">
        <v>-0.016720411382314837</v>
      </c>
      <c r="AI232" s="18">
        <v>-0.03150887701189442</v>
      </c>
      <c r="AJ232" s="18">
        <v>0.004585131271151122</v>
      </c>
      <c r="AK232" s="18">
        <v>0.004027265815446324</v>
      </c>
    </row>
    <row r="233">
      <c r="A233" s="230">
        <f>IFERROR(__xludf.DUMMYFUNCTION("""COMPUTED_VALUE"""),46021.66666666667)</f>
        <v>46021.66667</v>
      </c>
      <c r="B233" s="18">
        <f>IFERROR(__xludf.DUMMYFUNCTION("""COMPUTED_VALUE"""),687.01)</f>
        <v>687.01</v>
      </c>
      <c r="C233" s="18">
        <f>IFERROR(__xludf.DUMMYFUNCTION("IFERROR(VLOOKUP($A233, GOOGLEFINANCE(C$1, ""price"", $A$2, TODAY()), 2, FALSE), """")"),145.41)</f>
        <v>145.41</v>
      </c>
      <c r="D233" s="18">
        <f>IFERROR(__xludf.DUMMYFUNCTION("IFERROR(VLOOKUP($A233, GOOGLEFINANCE(D$1, ""price"", $A$2, TODAY()), 2, FALSE), """")"),120.36)</f>
        <v>120.36</v>
      </c>
      <c r="E233" s="18">
        <f>IFERROR(__xludf.DUMMYFUNCTION("IFERROR(VLOOKUP($A233, GOOGLEFINANCE(E$1, ""price"", $A$2, TODAY()), 2, FALSE), """")"),55.18)</f>
        <v>55.18</v>
      </c>
      <c r="F233" s="18">
        <f>IFERROR(__xludf.DUMMYFUNCTION("IFERROR(VLOOKUP($A233, GOOGLEFINANCE(F$1, ""price"", $A$2, TODAY()), 2, FALSE), """")"),118.29)</f>
        <v>118.29</v>
      </c>
      <c r="G233" s="18">
        <f>IFERROR(__xludf.DUMMYFUNCTION("IFERROR(VLOOKUP($A233, GOOGLEFINANCE(G$1, ""price"", $A$2, TODAY()), 2, FALSE), """")"),155.68)</f>
        <v>155.68</v>
      </c>
      <c r="H233" s="18">
        <f>IFERROR(__xludf.DUMMYFUNCTION("IFERROR(VLOOKUP($A233, GOOGLEFINANCE(H$1, ""price"", $A$2, TODAY()), 2, FALSE), """")"),78.15)</f>
        <v>78.15</v>
      </c>
      <c r="I233" s="18">
        <f>IFERROR(__xludf.DUMMYFUNCTION("IFERROR(VLOOKUP($A233, GOOGLEFINANCE(I$1, ""price"", $A$2, TODAY()), 2, FALSE), """")"),156.42)</f>
        <v>156.42</v>
      </c>
      <c r="J233" s="18">
        <f>IFERROR(__xludf.DUMMYFUNCTION("IFERROR(VLOOKUP($A233, GOOGLEFINANCE(J$1, ""price"", $A$2, TODAY()), 2, FALSE), """")"),44.96)</f>
        <v>44.96</v>
      </c>
      <c r="K233" s="18">
        <f>IFERROR(__xludf.DUMMYFUNCTION("IFERROR(VLOOKUP($A233, GOOGLEFINANCE(K$1, ""price"", $A$2, TODAY()), 2, FALSE), """")"),45.73)</f>
        <v>45.73</v>
      </c>
      <c r="L233" s="18">
        <f>IFERROR(__xludf.DUMMYFUNCTION("IFERROR(VLOOKUP($A233, GOOGLEFINANCE(L$1, ""price"", $A$2, TODAY()), 2, FALSE), """")"),42.96)</f>
        <v>42.96</v>
      </c>
      <c r="M233" s="196">
        <f>IFERROR(__xludf.DUMMYFUNCTION("IFERROR(VLOOKUP($A233, GOOGLEFINANCE(M$1, ""price"", $A$2, TODAY()), 2, FALSE), """")"),40.72)</f>
        <v>40.72</v>
      </c>
      <c r="O233" s="18">
        <v>0.21165630776844588</v>
      </c>
      <c r="P233" s="18">
        <v>0.17519395641984833</v>
      </c>
      <c r="Q233" s="18">
        <v>0.08031906376908633</v>
      </c>
      <c r="R233" s="18">
        <v>0.17218089984134147</v>
      </c>
      <c r="S233" s="18">
        <v>0.2266051440299268</v>
      </c>
      <c r="T233" s="18">
        <v>0.11375380271029535</v>
      </c>
      <c r="U233" s="18">
        <v>0.22768227536717076</v>
      </c>
      <c r="V233" s="18">
        <v>0.0654430066520138</v>
      </c>
      <c r="W233" s="18">
        <v>0.06656380547590282</v>
      </c>
      <c r="X233" s="18">
        <v>0.06253184087567867</v>
      </c>
      <c r="Y233" s="196">
        <v>0.059271335206183315</v>
      </c>
      <c r="AA233" s="18">
        <v>-0.003931231072374808</v>
      </c>
      <c r="AB233" s="18">
        <v>-7.423617204382893E-4</v>
      </c>
      <c r="AC233" s="18">
        <v>-0.0040205000200222996</v>
      </c>
      <c r="AD233" s="18">
        <v>0.014027712977984885</v>
      </c>
      <c r="AE233" s="18">
        <v>-0.021280375672322882</v>
      </c>
      <c r="AF233" s="18">
        <v>0.02378422439265826</v>
      </c>
      <c r="AG233" s="18">
        <v>-0.012359920439745653</v>
      </c>
      <c r="AH233" s="18">
        <v>-4.013899632882012E-5</v>
      </c>
      <c r="AI233" s="18">
        <v>-0.016686611395178574</v>
      </c>
      <c r="AJ233" s="18">
        <v>0.029871192525686707</v>
      </c>
      <c r="AK233" s="18">
        <v>0.01824432813851251</v>
      </c>
    </row>
    <row r="234">
      <c r="A234" s="230">
        <f>IFERROR(__xludf.DUMMYFUNCTION("""COMPUTED_VALUE"""),46022.66666666667)</f>
        <v>46022.66667</v>
      </c>
      <c r="B234" s="18">
        <f>IFERROR(__xludf.DUMMYFUNCTION("""COMPUTED_VALUE"""),681.92)</f>
        <v>681.92</v>
      </c>
      <c r="C234" s="18">
        <f>IFERROR(__xludf.DUMMYFUNCTION("IFERROR(VLOOKUP($A234, GOOGLEFINANCE(C$1, ""price"", $A$2, TODAY()), 2, FALSE), """")"),143.97)</f>
        <v>143.97</v>
      </c>
      <c r="D234" s="18">
        <f>IFERROR(__xludf.DUMMYFUNCTION("IFERROR(VLOOKUP($A234, GOOGLEFINANCE(D$1, ""price"", $A$2, TODAY()), 2, FALSE), """")"),119.41)</f>
        <v>119.41</v>
      </c>
      <c r="E234" s="18">
        <f>IFERROR(__xludf.DUMMYFUNCTION("IFERROR(VLOOKUP($A234, GOOGLEFINANCE(E$1, ""price"", $A$2, TODAY()), 2, FALSE), """")"),54.77)</f>
        <v>54.77</v>
      </c>
      <c r="F234" s="18">
        <f>IFERROR(__xludf.DUMMYFUNCTION("IFERROR(VLOOKUP($A234, GOOGLEFINANCE(F$1, ""price"", $A$2, TODAY()), 2, FALSE), """")"),117.72)</f>
        <v>117.72</v>
      </c>
      <c r="G234" s="18">
        <f>IFERROR(__xludf.DUMMYFUNCTION("IFERROR(VLOOKUP($A234, GOOGLEFINANCE(G$1, ""price"", $A$2, TODAY()), 2, FALSE), """")"),154.8)</f>
        <v>154.8</v>
      </c>
      <c r="H234" s="18">
        <f>IFERROR(__xludf.DUMMYFUNCTION("IFERROR(VLOOKUP($A234, GOOGLEFINANCE(H$1, ""price"", $A$2, TODAY()), 2, FALSE), """")"),77.68)</f>
        <v>77.68</v>
      </c>
      <c r="I234" s="18">
        <f>IFERROR(__xludf.DUMMYFUNCTION("IFERROR(VLOOKUP($A234, GOOGLEFINANCE(I$1, ""price"", $A$2, TODAY()), 2, FALSE), """")"),155.12)</f>
        <v>155.12</v>
      </c>
      <c r="J234" s="18">
        <f>IFERROR(__xludf.DUMMYFUNCTION("IFERROR(VLOOKUP($A234, GOOGLEFINANCE(J$1, ""price"", $A$2, TODAY()), 2, FALSE), """")"),44.71)</f>
        <v>44.71</v>
      </c>
      <c r="K234" s="18">
        <f>IFERROR(__xludf.DUMMYFUNCTION("IFERROR(VLOOKUP($A234, GOOGLEFINANCE(K$1, ""price"", $A$2, TODAY()), 2, FALSE), """")"),45.35)</f>
        <v>45.35</v>
      </c>
      <c r="L234" s="18">
        <f>IFERROR(__xludf.DUMMYFUNCTION("IFERROR(VLOOKUP($A234, GOOGLEFINANCE(L$1, ""price"", $A$2, TODAY()), 2, FALSE), """")"),42.69)</f>
        <v>42.69</v>
      </c>
      <c r="M234" s="196">
        <f>IFERROR(__xludf.DUMMYFUNCTION("IFERROR(VLOOKUP($A234, GOOGLEFINANCE(M$1, ""price"", $A$2, TODAY()), 2, FALSE), """")"),40.35)</f>
        <v>40.35</v>
      </c>
      <c r="O234" s="18">
        <v>0.21112447207883625</v>
      </c>
      <c r="P234" s="18">
        <v>0.17510851712810888</v>
      </c>
      <c r="Q234" s="18">
        <v>0.08031733927733459</v>
      </c>
      <c r="R234" s="18">
        <v>0.17263022055373065</v>
      </c>
      <c r="S234" s="18">
        <v>0.22700610042233696</v>
      </c>
      <c r="T234" s="18">
        <v>0.11391365556076961</v>
      </c>
      <c r="U234" s="18">
        <v>0.22747536367902396</v>
      </c>
      <c r="V234" s="18">
        <v>0.06556487564523698</v>
      </c>
      <c r="W234" s="18">
        <v>0.06650340215861099</v>
      </c>
      <c r="X234" s="18">
        <v>0.06260265133740028</v>
      </c>
      <c r="Y234" s="196">
        <v>0.05917116377287659</v>
      </c>
      <c r="AA234" s="18">
        <v>0.009237623010803997</v>
      </c>
      <c r="AB234" s="18">
        <v>-0.01774264851120766</v>
      </c>
      <c r="AC234" s="18">
        <v>-0.00930932727880196</v>
      </c>
      <c r="AD234" s="18">
        <v>0.013195976966316136</v>
      </c>
      <c r="AE234" s="18">
        <v>-0.010100073980485957</v>
      </c>
      <c r="AF234" s="18">
        <v>0.0013335625408752438</v>
      </c>
      <c r="AG234" s="18">
        <v>-0.02074959099504381</v>
      </c>
      <c r="AH234" s="18">
        <v>-0.02883700523851007</v>
      </c>
      <c r="AI234" s="18">
        <v>-0.03463661426560283</v>
      </c>
      <c r="AJ234" s="18">
        <v>0.02798652354491238</v>
      </c>
      <c r="AK234" s="18">
        <v>0.00888004780010232</v>
      </c>
    </row>
    <row r="235">
      <c r="A235" s="230">
        <f>IFERROR(__xludf.DUMMYFUNCTION("""COMPUTED_VALUE"""),46024.66666666667)</f>
        <v>46024.66667</v>
      </c>
      <c r="B235" s="18">
        <f>IFERROR(__xludf.DUMMYFUNCTION("""COMPUTED_VALUE"""),683.17)</f>
        <v>683.17</v>
      </c>
      <c r="C235" s="18">
        <f>IFERROR(__xludf.DUMMYFUNCTION("IFERROR(VLOOKUP($A235, GOOGLEFINANCE(C$1, ""price"", $A$2, TODAY()), 2, FALSE), """")"),144.3)</f>
        <v>144.3</v>
      </c>
      <c r="D235" s="18">
        <f>IFERROR(__xludf.DUMMYFUNCTION("IFERROR(VLOOKUP($A235, GOOGLEFINANCE(D$1, ""price"", $A$2, TODAY()), 2, FALSE), """")"),118.35)</f>
        <v>118.35</v>
      </c>
      <c r="E235" s="18">
        <f>IFERROR(__xludf.DUMMYFUNCTION("IFERROR(VLOOKUP($A235, GOOGLEFINANCE(E$1, ""price"", $A$2, TODAY()), 2, FALSE), """")"),54.93)</f>
        <v>54.93</v>
      </c>
      <c r="F235" s="18">
        <f>IFERROR(__xludf.DUMMYFUNCTION("IFERROR(VLOOKUP($A235, GOOGLEFINANCE(F$1, ""price"", $A$2, TODAY()), 2, FALSE), """")"),116.9)</f>
        <v>116.9</v>
      </c>
      <c r="G235" s="18">
        <f>IFERROR(__xludf.DUMMYFUNCTION("IFERROR(VLOOKUP($A235, GOOGLEFINANCE(G$1, ""price"", $A$2, TODAY()), 2, FALSE), """")"),155.51)</f>
        <v>155.51</v>
      </c>
      <c r="H235" s="18">
        <f>IFERROR(__xludf.DUMMYFUNCTION("IFERROR(VLOOKUP($A235, GOOGLEFINANCE(H$1, ""price"", $A$2, TODAY()), 2, FALSE), """")"),77.69)</f>
        <v>77.69</v>
      </c>
      <c r="I235" s="18">
        <f>IFERROR(__xludf.DUMMYFUNCTION("IFERROR(VLOOKUP($A235, GOOGLEFINANCE(I$1, ""price"", $A$2, TODAY()), 2, FALSE), """")"),157.98)</f>
        <v>157.98</v>
      </c>
      <c r="J235" s="18">
        <f>IFERROR(__xludf.DUMMYFUNCTION("IFERROR(VLOOKUP($A235, GOOGLEFINANCE(J$1, ""price"", $A$2, TODAY()), 2, FALSE), """")"),45.65)</f>
        <v>45.65</v>
      </c>
      <c r="K235" s="18">
        <f>IFERROR(__xludf.DUMMYFUNCTION("IFERROR(VLOOKUP($A235, GOOGLEFINANCE(K$1, ""price"", $A$2, TODAY()), 2, FALSE), """")"),46.12)</f>
        <v>46.12</v>
      </c>
      <c r="L235" s="18">
        <f>IFERROR(__xludf.DUMMYFUNCTION("IFERROR(VLOOKUP($A235, GOOGLEFINANCE(L$1, ""price"", $A$2, TODAY()), 2, FALSE), """")"),43.18)</f>
        <v>43.18</v>
      </c>
      <c r="M235" s="196">
        <f>IFERROR(__xludf.DUMMYFUNCTION("IFERROR(VLOOKUP($A235, GOOGLEFINANCE(M$1, ""price"", $A$2, TODAY()), 2, FALSE), """")"),40.38)</f>
        <v>40.38</v>
      </c>
      <c r="O235" s="18">
        <v>0.2112212187303307</v>
      </c>
      <c r="P235" s="18">
        <v>0.1732365297071007</v>
      </c>
      <c r="Q235" s="18">
        <v>0.08040458451044397</v>
      </c>
      <c r="R235" s="18">
        <v>0.17111407116823046</v>
      </c>
      <c r="S235" s="18">
        <v>0.22763001888256218</v>
      </c>
      <c r="T235" s="18">
        <v>0.11371986474815932</v>
      </c>
      <c r="U235" s="18">
        <v>0.23124551722118947</v>
      </c>
      <c r="V235" s="18">
        <v>0.06682084986167426</v>
      </c>
      <c r="W235" s="18">
        <v>0.06750881918117013</v>
      </c>
      <c r="X235" s="18">
        <v>0.06320535152304697</v>
      </c>
      <c r="Y235" s="196">
        <v>0.05910681089626302</v>
      </c>
      <c r="AA235" s="18">
        <v>0.0030948428611743406</v>
      </c>
      <c r="AB235" s="18">
        <v>-0.033532045866028426</v>
      </c>
      <c r="AC235" s="18">
        <v>0.0013710743076233989</v>
      </c>
      <c r="AD235" s="18">
        <v>0.007252509335372137</v>
      </c>
      <c r="AE235" s="18">
        <v>0.004330094754433578</v>
      </c>
      <c r="AF235" s="18">
        <v>-0.0040435769620826845</v>
      </c>
      <c r="AG235" s="18">
        <v>-0.008827418404798504</v>
      </c>
      <c r="AH235" s="18">
        <v>-0.006249255121228647</v>
      </c>
      <c r="AI235" s="18">
        <v>-0.029095604453486135</v>
      </c>
      <c r="AJ235" s="18">
        <v>0.03196749780289854</v>
      </c>
      <c r="AK235" s="18">
        <v>0.012944796018994564</v>
      </c>
    </row>
    <row r="236">
      <c r="A236" s="230">
        <f>IFERROR(__xludf.DUMMYFUNCTION("""COMPUTED_VALUE"""),46027.66666666667)</f>
        <v>46027.66667</v>
      </c>
      <c r="B236" s="18">
        <f>IFERROR(__xludf.DUMMYFUNCTION("""COMPUTED_VALUE"""),687.72)</f>
        <v>687.72</v>
      </c>
      <c r="C236" s="18">
        <f>IFERROR(__xludf.DUMMYFUNCTION("IFERROR(VLOOKUP($A236, GOOGLEFINANCE(C$1, ""price"", $A$2, TODAY()), 2, FALSE), """")"),144.62)</f>
        <v>144.62</v>
      </c>
      <c r="D236" s="18">
        <f>IFERROR(__xludf.DUMMYFUNCTION("IFERROR(VLOOKUP($A236, GOOGLEFINANCE(D$1, ""price"", $A$2, TODAY()), 2, FALSE), """")"),120.3)</f>
        <v>120.3</v>
      </c>
      <c r="E236" s="18">
        <f>IFERROR(__xludf.DUMMYFUNCTION("IFERROR(VLOOKUP($A236, GOOGLEFINANCE(E$1, ""price"", $A$2, TODAY()), 2, FALSE), """")"),56.13)</f>
        <v>56.13</v>
      </c>
      <c r="F236" s="18">
        <f>IFERROR(__xludf.DUMMYFUNCTION("IFERROR(VLOOKUP($A236, GOOGLEFINANCE(F$1, ""price"", $A$2, TODAY()), 2, FALSE), """")"),117.75)</f>
        <v>117.75</v>
      </c>
      <c r="G236" s="18">
        <f>IFERROR(__xludf.DUMMYFUNCTION("IFERROR(VLOOKUP($A236, GOOGLEFINANCE(G$1, ""price"", $A$2, TODAY()), 2, FALSE), """")"),155.04)</f>
        <v>155.04</v>
      </c>
      <c r="H236" s="18">
        <f>IFERROR(__xludf.DUMMYFUNCTION("IFERROR(VLOOKUP($A236, GOOGLEFINANCE(H$1, ""price"", $A$2, TODAY()), 2, FALSE), """")"),77.35)</f>
        <v>77.35</v>
      </c>
      <c r="I236" s="18">
        <f>IFERROR(__xludf.DUMMYFUNCTION("IFERROR(VLOOKUP($A236, GOOGLEFINANCE(I$1, ""price"", $A$2, TODAY()), 2, FALSE), """")"),159.85)</f>
        <v>159.85</v>
      </c>
      <c r="J236" s="18">
        <f>IFERROR(__xludf.DUMMYFUNCTION("IFERROR(VLOOKUP($A236, GOOGLEFINANCE(J$1, ""price"", $A$2, TODAY()), 2, FALSE), """")"),46.89)</f>
        <v>46.89</v>
      </c>
      <c r="K236" s="18">
        <f>IFERROR(__xludf.DUMMYFUNCTION("IFERROR(VLOOKUP($A236, GOOGLEFINANCE(K$1, ""price"", $A$2, TODAY()), 2, FALSE), """")"),46.58)</f>
        <v>46.58</v>
      </c>
      <c r="L236" s="18">
        <f>IFERROR(__xludf.DUMMYFUNCTION("IFERROR(VLOOKUP($A236, GOOGLEFINANCE(L$1, ""price"", $A$2, TODAY()), 2, FALSE), """")"),42.7)</f>
        <v>42.7</v>
      </c>
      <c r="M236" s="196">
        <f>IFERROR(__xludf.DUMMYFUNCTION("IFERROR(VLOOKUP($A236, GOOGLEFINANCE(M$1, ""price"", $A$2, TODAY()), 2, FALSE), """")"),40.43)</f>
        <v>40.43</v>
      </c>
      <c r="O236" s="18">
        <v>0.21028907113360087</v>
      </c>
      <c r="P236" s="18">
        <v>0.1749258419124062</v>
      </c>
      <c r="Q236" s="18">
        <v>0.08161751875763393</v>
      </c>
      <c r="R236" s="18">
        <v>0.1712179375327168</v>
      </c>
      <c r="S236" s="18">
        <v>0.225440586285116</v>
      </c>
      <c r="T236" s="18">
        <v>0.11247309951724538</v>
      </c>
      <c r="U236" s="18">
        <v>0.23243471180131448</v>
      </c>
      <c r="V236" s="18">
        <v>0.06818181818181818</v>
      </c>
      <c r="W236" s="18">
        <v>0.06773105333565986</v>
      </c>
      <c r="X236" s="18">
        <v>0.062089222357936374</v>
      </c>
      <c r="Y236" s="196">
        <v>0.05878846041993834</v>
      </c>
      <c r="AA236" s="18">
        <v>-0.004124595073002335</v>
      </c>
      <c r="AB236" s="18">
        <v>-0.023438417412236623</v>
      </c>
      <c r="AC236" s="18">
        <v>0.026175336219149914</v>
      </c>
      <c r="AD236" s="18">
        <v>0.012538166356813374</v>
      </c>
      <c r="AE236" s="18">
        <v>-0.00421096732773385</v>
      </c>
      <c r="AF236" s="18">
        <v>-0.024859068840006326</v>
      </c>
      <c r="AG236" s="18">
        <v>-0.009748640952370047</v>
      </c>
      <c r="AH236" s="18">
        <v>0.022815553027033086</v>
      </c>
      <c r="AI236" s="18">
        <v>-0.02959771152478774</v>
      </c>
      <c r="AJ236" s="18">
        <v>0.01366706938335005</v>
      </c>
      <c r="AK236" s="18">
        <v>0.0060902546904071375</v>
      </c>
    </row>
    <row r="237">
      <c r="A237" s="230">
        <f>IFERROR(__xludf.DUMMYFUNCTION("""COMPUTED_VALUE"""),46028.66666666667)</f>
        <v>46028.66667</v>
      </c>
      <c r="B237" s="18">
        <f>IFERROR(__xludf.DUMMYFUNCTION("""COMPUTED_VALUE"""),691.81)</f>
        <v>691.81</v>
      </c>
      <c r="C237" s="18">
        <f>IFERROR(__xludf.DUMMYFUNCTION("IFERROR(VLOOKUP($A237, GOOGLEFINANCE(C$1, ""price"", $A$2, TODAY()), 2, FALSE), """")"),146.65)</f>
        <v>146.65</v>
      </c>
      <c r="D237" s="18">
        <f>IFERROR(__xludf.DUMMYFUNCTION("IFERROR(VLOOKUP($A237, GOOGLEFINANCE(D$1, ""price"", $A$2, TODAY()), 2, FALSE), """")"),121.07)</f>
        <v>121.07</v>
      </c>
      <c r="E237" s="18">
        <f>IFERROR(__xludf.DUMMYFUNCTION("IFERROR(VLOOKUP($A237, GOOGLEFINANCE(E$1, ""price"", $A$2, TODAY()), 2, FALSE), """")"),56.4)</f>
        <v>56.4</v>
      </c>
      <c r="F237" s="18">
        <f>IFERROR(__xludf.DUMMYFUNCTION("IFERROR(VLOOKUP($A237, GOOGLEFINANCE(F$1, ""price"", $A$2, TODAY()), 2, FALSE), """")"),117.33)</f>
        <v>117.33</v>
      </c>
      <c r="G237" s="18">
        <f>IFERROR(__xludf.DUMMYFUNCTION("IFERROR(VLOOKUP($A237, GOOGLEFINANCE(G$1, ""price"", $A$2, TODAY()), 2, FALSE), """")"),158.09)</f>
        <v>158.09</v>
      </c>
      <c r="H237" s="18">
        <f>IFERROR(__xludf.DUMMYFUNCTION("IFERROR(VLOOKUP($A237, GOOGLEFINANCE(H$1, ""price"", $A$2, TODAY()), 2, FALSE), """")"),77.47)</f>
        <v>77.47</v>
      </c>
      <c r="I237" s="18">
        <f>IFERROR(__xludf.DUMMYFUNCTION("IFERROR(VLOOKUP($A237, GOOGLEFINANCE(I$1, ""price"", $A$2, TODAY()), 2, FALSE), """")"),162.02)</f>
        <v>162.02</v>
      </c>
      <c r="J237" s="18">
        <f>IFERROR(__xludf.DUMMYFUNCTION("IFERROR(VLOOKUP($A237, GOOGLEFINANCE(J$1, ""price"", $A$2, TODAY()), 2, FALSE), """")"),45.64)</f>
        <v>45.64</v>
      </c>
      <c r="K237" s="18">
        <f>IFERROR(__xludf.DUMMYFUNCTION("IFERROR(VLOOKUP($A237, GOOGLEFINANCE(K$1, ""price"", $A$2, TODAY()), 2, FALSE), """")"),47.5)</f>
        <v>47.5</v>
      </c>
      <c r="L237" s="18">
        <f>IFERROR(__xludf.DUMMYFUNCTION("IFERROR(VLOOKUP($A237, GOOGLEFINANCE(L$1, ""price"", $A$2, TODAY()), 2, FALSE), """")"),42.91)</f>
        <v>42.91</v>
      </c>
      <c r="M237" s="196">
        <f>IFERROR(__xludf.DUMMYFUNCTION("IFERROR(VLOOKUP($A237, GOOGLEFINANCE(M$1, ""price"", $A$2, TODAY()), 2, FALSE), """")"),40.7)</f>
        <v>40.7</v>
      </c>
      <c r="O237" s="18">
        <v>0.21198016796519278</v>
      </c>
      <c r="P237" s="18">
        <v>0.17500469782165623</v>
      </c>
      <c r="Q237" s="18">
        <v>0.08152527428051055</v>
      </c>
      <c r="R237" s="18">
        <v>0.16959858920801954</v>
      </c>
      <c r="S237" s="18">
        <v>0.2285165001951403</v>
      </c>
      <c r="T237" s="18">
        <v>0.1119816134487793</v>
      </c>
      <c r="U237" s="18">
        <v>0.23419725069021843</v>
      </c>
      <c r="V237" s="18">
        <v>0.06597187088940605</v>
      </c>
      <c r="W237" s="18">
        <v>0.06866047036035906</v>
      </c>
      <c r="X237" s="18">
        <v>0.062025700698168575</v>
      </c>
      <c r="Y237" s="196">
        <v>0.058831181971928714</v>
      </c>
      <c r="AA237" s="18">
        <v>0.00399700388593538</v>
      </c>
      <c r="AB237" s="18">
        <v>-0.022518241625227975</v>
      </c>
      <c r="AC237" s="18">
        <v>0.042961267519634916</v>
      </c>
      <c r="AD237" s="18">
        <v>0.006608035202735119</v>
      </c>
      <c r="AE237" s="18">
        <v>0.011470539366992938</v>
      </c>
      <c r="AF237" s="18">
        <v>-0.04217132335890006</v>
      </c>
      <c r="AG237" s="18">
        <v>-0.009334634404287168</v>
      </c>
      <c r="AH237" s="18">
        <v>-0.02618500283099512</v>
      </c>
      <c r="AI237" s="18">
        <v>-0.02247948857159232</v>
      </c>
      <c r="AJ237" s="18">
        <v>0.004237348269974683</v>
      </c>
      <c r="AK237" s="18">
        <v>-0.002802122729905099</v>
      </c>
    </row>
    <row r="238">
      <c r="A238" s="230">
        <f>IFERROR(__xludf.DUMMYFUNCTION("""COMPUTED_VALUE"""),46029.66666666667)</f>
        <v>46029.66667</v>
      </c>
      <c r="B238" s="18">
        <f>IFERROR(__xludf.DUMMYFUNCTION("""COMPUTED_VALUE"""),689.58)</f>
        <v>689.58</v>
      </c>
      <c r="C238" s="18">
        <f>IFERROR(__xludf.DUMMYFUNCTION("IFERROR(VLOOKUP($A238, GOOGLEFINANCE(C$1, ""price"", $A$2, TODAY()), 2, FALSE), """")"),146.53)</f>
        <v>146.53</v>
      </c>
      <c r="D238" s="18">
        <f>IFERROR(__xludf.DUMMYFUNCTION("IFERROR(VLOOKUP($A238, GOOGLEFINANCE(D$1, ""price"", $A$2, TODAY()), 2, FALSE), """")"),120.9)</f>
        <v>120.9</v>
      </c>
      <c r="E238" s="18">
        <f>IFERROR(__xludf.DUMMYFUNCTION("IFERROR(VLOOKUP($A238, GOOGLEFINANCE(E$1, ""price"", $A$2, TODAY()), 2, FALSE), """")"),55.61)</f>
        <v>55.61</v>
      </c>
      <c r="F238" s="18">
        <f>IFERROR(__xludf.DUMMYFUNCTION("IFERROR(VLOOKUP($A238, GOOGLEFINANCE(F$1, ""price"", $A$2, TODAY()), 2, FALSE), """")"),117.09)</f>
        <v>117.09</v>
      </c>
      <c r="G238" s="18">
        <f>IFERROR(__xludf.DUMMYFUNCTION("IFERROR(VLOOKUP($A238, GOOGLEFINANCE(G$1, ""price"", $A$2, TODAY()), 2, FALSE), """")"),159.66)</f>
        <v>159.66</v>
      </c>
      <c r="H238" s="18">
        <f>IFERROR(__xludf.DUMMYFUNCTION("IFERROR(VLOOKUP($A238, GOOGLEFINANCE(H$1, ""price"", $A$2, TODAY()), 2, FALSE), """")"),76.62)</f>
        <v>76.62</v>
      </c>
      <c r="I238" s="18">
        <f>IFERROR(__xludf.DUMMYFUNCTION("IFERROR(VLOOKUP($A238, GOOGLEFINANCE(I$1, ""price"", $A$2, TODAY()), 2, FALSE), """")"),158.97)</f>
        <v>158.97</v>
      </c>
      <c r="J238" s="18">
        <f>IFERROR(__xludf.DUMMYFUNCTION("IFERROR(VLOOKUP($A238, GOOGLEFINANCE(J$1, ""price"", $A$2, TODAY()), 2, FALSE), """")"),45.13)</f>
        <v>45.13</v>
      </c>
      <c r="K238" s="18">
        <f>IFERROR(__xludf.DUMMYFUNCTION("IFERROR(VLOOKUP($A238, GOOGLEFINANCE(K$1, ""price"", $A$2, TODAY()), 2, FALSE), """")"),46.68)</f>
        <v>46.68</v>
      </c>
      <c r="L238" s="18">
        <f>IFERROR(__xludf.DUMMYFUNCTION("IFERROR(VLOOKUP($A238, GOOGLEFINANCE(L$1, ""price"", $A$2, TODAY()), 2, FALSE), """")"),41.87)</f>
        <v>41.87</v>
      </c>
      <c r="M238" s="196">
        <f>IFERROR(__xludf.DUMMYFUNCTION("IFERROR(VLOOKUP($A238, GOOGLEFINANCE(M$1, ""price"", $A$2, TODAY()), 2, FALSE), """")"),40.14)</f>
        <v>40.14</v>
      </c>
      <c r="O238" s="18">
        <v>0.2124916615911134</v>
      </c>
      <c r="P238" s="18">
        <v>0.17532411032802575</v>
      </c>
      <c r="Q238" s="18">
        <v>0.08064329011862292</v>
      </c>
      <c r="R238" s="18">
        <v>0.169799008091882</v>
      </c>
      <c r="S238" s="18">
        <v>0.2315322370138345</v>
      </c>
      <c r="T238" s="18">
        <v>0.1111111111111111</v>
      </c>
      <c r="U238" s="18">
        <v>0.23053162794744625</v>
      </c>
      <c r="V238" s="18">
        <v>0.06544563357405957</v>
      </c>
      <c r="W238" s="18">
        <v>0.06769337857826503</v>
      </c>
      <c r="X238" s="18">
        <v>0.06071811827489196</v>
      </c>
      <c r="Y238" s="196">
        <v>0.058209344818585224</v>
      </c>
      <c r="AA238" s="18">
        <v>0.013792284008576683</v>
      </c>
      <c r="AB238" s="18">
        <v>-0.009924312424900883</v>
      </c>
      <c r="AC238" s="18">
        <v>0.02812376299709185</v>
      </c>
      <c r="AD238" s="18">
        <v>0.00499351188538788</v>
      </c>
      <c r="AE238" s="18">
        <v>0.012546529487335478</v>
      </c>
      <c r="AF238" s="18">
        <v>-0.06716932182090884</v>
      </c>
      <c r="AG238" s="18">
        <v>-0.031169326902057648</v>
      </c>
      <c r="AH238" s="18">
        <v>-0.0599032960010869</v>
      </c>
      <c r="AI238" s="18">
        <v>-0.041378444404286285</v>
      </c>
      <c r="AJ238" s="18">
        <v>-0.029016443542867365</v>
      </c>
      <c r="AK238" s="18">
        <v>-0.02910356876157294</v>
      </c>
    </row>
    <row r="239">
      <c r="A239" s="230">
        <f>IFERROR(__xludf.DUMMYFUNCTION("""COMPUTED_VALUE"""),46030.66666666667)</f>
        <v>46030.66667</v>
      </c>
      <c r="B239" s="18">
        <f>IFERROR(__xludf.DUMMYFUNCTION("""COMPUTED_VALUE"""),689.51)</f>
        <v>689.51</v>
      </c>
      <c r="C239" s="18">
        <f>IFERROR(__xludf.DUMMYFUNCTION("IFERROR(VLOOKUP($A239, GOOGLEFINANCE(C$1, ""price"", $A$2, TODAY()), 2, FALSE), """")"),144.24)</f>
        <v>144.24</v>
      </c>
      <c r="D239" s="18">
        <f>IFERROR(__xludf.DUMMYFUNCTION("IFERROR(VLOOKUP($A239, GOOGLEFINANCE(D$1, ""price"", $A$2, TODAY()), 2, FALSE), """")"),122.92)</f>
        <v>122.92</v>
      </c>
      <c r="E239" s="18">
        <f>IFERROR(__xludf.DUMMYFUNCTION("IFERROR(VLOOKUP($A239, GOOGLEFINANCE(E$1, ""price"", $A$2, TODAY()), 2, FALSE), """")"),55.9)</f>
        <v>55.9</v>
      </c>
      <c r="F239" s="18">
        <f>IFERROR(__xludf.DUMMYFUNCTION("IFERROR(VLOOKUP($A239, GOOGLEFINANCE(F$1, ""price"", $A$2, TODAY()), 2, FALSE), """")"),117.48)</f>
        <v>117.48</v>
      </c>
      <c r="G239" s="18">
        <f>IFERROR(__xludf.DUMMYFUNCTION("IFERROR(VLOOKUP($A239, GOOGLEFINANCE(G$1, ""price"", $A$2, TODAY()), 2, FALSE), """")"),158.12)</f>
        <v>158.12</v>
      </c>
      <c r="H239" s="18">
        <f>IFERROR(__xludf.DUMMYFUNCTION("IFERROR(VLOOKUP($A239, GOOGLEFINANCE(H$1, ""price"", $A$2, TODAY()), 2, FALSE), """")"),78.44)</f>
        <v>78.44</v>
      </c>
      <c r="I239" s="18">
        <f>IFERROR(__xludf.DUMMYFUNCTION("IFERROR(VLOOKUP($A239, GOOGLEFINANCE(I$1, ""price"", $A$2, TODAY()), 2, FALSE), """")"),160.17)</f>
        <v>160.17</v>
      </c>
      <c r="J239" s="18">
        <f>IFERROR(__xludf.DUMMYFUNCTION("IFERROR(VLOOKUP($A239, GOOGLEFINANCE(J$1, ""price"", $A$2, TODAY()), 2, FALSE), """")"),46.55)</f>
        <v>46.55</v>
      </c>
      <c r="K239" s="18">
        <f>IFERROR(__xludf.DUMMYFUNCTION("IFERROR(VLOOKUP($A239, GOOGLEFINANCE(K$1, ""price"", $A$2, TODAY()), 2, FALSE), """")"),47.5)</f>
        <v>47.5</v>
      </c>
      <c r="L239" s="18">
        <f>IFERROR(__xludf.DUMMYFUNCTION("IFERROR(VLOOKUP($A239, GOOGLEFINANCE(L$1, ""price"", $A$2, TODAY()), 2, FALSE), """")"),41.99)</f>
        <v>41.99</v>
      </c>
      <c r="M239" s="196">
        <f>IFERROR(__xludf.DUMMYFUNCTION("IFERROR(VLOOKUP($A239, GOOGLEFINANCE(M$1, ""price"", $A$2, TODAY()), 2, FALSE), """")"),40.44)</f>
        <v>40.44</v>
      </c>
      <c r="O239" s="18">
        <v>0.2091920349233514</v>
      </c>
      <c r="P239" s="18">
        <v>0.17827152615625588</v>
      </c>
      <c r="Q239" s="18">
        <v>0.0810720656698235</v>
      </c>
      <c r="R239" s="18">
        <v>0.17038186538266306</v>
      </c>
      <c r="S239" s="18">
        <v>0.22932227233832722</v>
      </c>
      <c r="T239" s="18">
        <v>0.1137619468898203</v>
      </c>
      <c r="U239" s="18">
        <v>0.23229539818131714</v>
      </c>
      <c r="V239" s="18">
        <v>0.0675117112152108</v>
      </c>
      <c r="W239" s="18">
        <v>0.06888950124001102</v>
      </c>
      <c r="X239" s="18">
        <v>0.060898319096169745</v>
      </c>
      <c r="Y239" s="196">
        <v>0.058650345897811484</v>
      </c>
      <c r="AA239" s="18">
        <v>-0.004461059704793269</v>
      </c>
      <c r="AB239" s="18">
        <v>0.0057594235240958636</v>
      </c>
      <c r="AC239" s="18">
        <v>0.03221126980464639</v>
      </c>
      <c r="AD239" s="18">
        <v>0.014931094505590714</v>
      </c>
      <c r="AE239" s="18">
        <v>0.011379012509452169</v>
      </c>
      <c r="AF239" s="18">
        <v>-0.043941117943314234</v>
      </c>
      <c r="AG239" s="18">
        <v>-0.030014679472584294</v>
      </c>
      <c r="AH239" s="18">
        <v>-0.01839304827520427</v>
      </c>
      <c r="AI239" s="18">
        <v>-0.02597899635651091</v>
      </c>
      <c r="AJ239" s="18">
        <v>-0.03333518892151932</v>
      </c>
      <c r="AK239" s="18">
        <v>-0.026376128434028256</v>
      </c>
    </row>
    <row r="240">
      <c r="A240" s="230">
        <f>IFERROR(__xludf.DUMMYFUNCTION("""COMPUTED_VALUE"""),46031.66666666667)</f>
        <v>46031.66667</v>
      </c>
      <c r="B240" s="18">
        <f>IFERROR(__xludf.DUMMYFUNCTION("""COMPUTED_VALUE"""),694.07)</f>
        <v>694.07</v>
      </c>
      <c r="C240" s="18">
        <f>IFERROR(__xludf.DUMMYFUNCTION("IFERROR(VLOOKUP($A240, GOOGLEFINANCE(C$1, ""price"", $A$2, TODAY()), 2, FALSE), """")"),146.15)</f>
        <v>146.15</v>
      </c>
      <c r="D240" s="18">
        <f>IFERROR(__xludf.DUMMYFUNCTION("IFERROR(VLOOKUP($A240, GOOGLEFINANCE(D$1, ""price"", $A$2, TODAY()), 2, FALSE), """")"),124.41)</f>
        <v>124.41</v>
      </c>
      <c r="E240" s="18">
        <f>IFERROR(__xludf.DUMMYFUNCTION("IFERROR(VLOOKUP($A240, GOOGLEFINANCE(E$1, ""price"", $A$2, TODAY()), 2, FALSE), """")"),55.73)</f>
        <v>55.73</v>
      </c>
      <c r="F240" s="18">
        <f>IFERROR(__xludf.DUMMYFUNCTION("IFERROR(VLOOKUP($A240, GOOGLEFINANCE(F$1, ""price"", $A$2, TODAY()), 2, FALSE), """")"),117.91)</f>
        <v>117.91</v>
      </c>
      <c r="G240" s="18">
        <f>IFERROR(__xludf.DUMMYFUNCTION("IFERROR(VLOOKUP($A240, GOOGLEFINANCE(G$1, ""price"", $A$2, TODAY()), 2, FALSE), """")"),157.31)</f>
        <v>157.31</v>
      </c>
      <c r="H240" s="18">
        <f>IFERROR(__xludf.DUMMYFUNCTION("IFERROR(VLOOKUP($A240, GOOGLEFINANCE(H$1, ""price"", $A$2, TODAY()), 2, FALSE), """")"),79.25)</f>
        <v>79.25</v>
      </c>
      <c r="I240" s="18">
        <f>IFERROR(__xludf.DUMMYFUNCTION("IFERROR(VLOOKUP($A240, GOOGLEFINANCE(I$1, ""price"", $A$2, TODAY()), 2, FALSE), """")"),161.93)</f>
        <v>161.93</v>
      </c>
      <c r="J240" s="18">
        <f>IFERROR(__xludf.DUMMYFUNCTION("IFERROR(VLOOKUP($A240, GOOGLEFINANCE(J$1, ""price"", $A$2, TODAY()), 2, FALSE), """")"),46.67)</f>
        <v>46.67</v>
      </c>
      <c r="K240" s="18">
        <f>IFERROR(__xludf.DUMMYFUNCTION("IFERROR(VLOOKUP($A240, GOOGLEFINANCE(K$1, ""price"", $A$2, TODAY()), 2, FALSE), """")"),48.26)</f>
        <v>48.26</v>
      </c>
      <c r="L240" s="18">
        <f>IFERROR(__xludf.DUMMYFUNCTION("IFERROR(VLOOKUP($A240, GOOGLEFINANCE(L$1, ""price"", $A$2, TODAY()), 2, FALSE), """")"),42.51)</f>
        <v>42.51</v>
      </c>
      <c r="M240" s="196">
        <f>IFERROR(__xludf.DUMMYFUNCTION("IFERROR(VLOOKUP($A240, GOOGLEFINANCE(M$1, ""price"", $A$2, TODAY()), 2, FALSE), """")"),40.5)</f>
        <v>40.5</v>
      </c>
      <c r="O240" s="18">
        <v>0.21056953909548026</v>
      </c>
      <c r="P240" s="18">
        <v>0.17924705000936503</v>
      </c>
      <c r="Q240" s="18">
        <v>0.08029449479159162</v>
      </c>
      <c r="R240" s="18">
        <v>0.16988200037460197</v>
      </c>
      <c r="S240" s="18">
        <v>0.22664860892993502</v>
      </c>
      <c r="T240" s="18">
        <v>0.11418156670076504</v>
      </c>
      <c r="U240" s="18">
        <v>0.23330499805495122</v>
      </c>
      <c r="V240" s="18">
        <v>0.06724105637759879</v>
      </c>
      <c r="W240" s="18">
        <v>0.06953189159594853</v>
      </c>
      <c r="X240" s="18">
        <v>0.06124742461135043</v>
      </c>
      <c r="Y240" s="196">
        <v>0.05835146310890832</v>
      </c>
      <c r="AA240" s="18">
        <v>1.5469997788675194E-4</v>
      </c>
      <c r="AB240" s="18">
        <v>0.01372047922712527</v>
      </c>
      <c r="AC240" s="18">
        <v>0.020141261343722627</v>
      </c>
      <c r="AD240" s="18">
        <v>0.020236036980960215</v>
      </c>
      <c r="AE240" s="18">
        <v>0.0065736281782384776</v>
      </c>
      <c r="AF240" s="18">
        <v>-0.03818265224392703</v>
      </c>
      <c r="AG240" s="18">
        <v>-0.03314718421397511</v>
      </c>
      <c r="AH240" s="18">
        <v>-0.024786138516880274</v>
      </c>
      <c r="AI240" s="18">
        <v>-0.012070087484516101</v>
      </c>
      <c r="AJ240" s="18">
        <v>-0.02368302127940447</v>
      </c>
      <c r="AK240" s="18">
        <v>-0.04384333158238507</v>
      </c>
    </row>
    <row r="241">
      <c r="A241" s="230">
        <f>IFERROR(__xludf.DUMMYFUNCTION("""COMPUTED_VALUE"""),46034.66666666667)</f>
        <v>46034.66667</v>
      </c>
      <c r="B241" s="18">
        <f>IFERROR(__xludf.DUMMYFUNCTION("""COMPUTED_VALUE"""),695.16)</f>
        <v>695.16</v>
      </c>
      <c r="C241" s="18">
        <f>IFERROR(__xludf.DUMMYFUNCTION("IFERROR(VLOOKUP($A241, GOOGLEFINANCE(C$1, ""price"", $A$2, TODAY()), 2, FALSE), """")"),146.79)</f>
        <v>146.79</v>
      </c>
      <c r="D241" s="18">
        <f>IFERROR(__xludf.DUMMYFUNCTION("IFERROR(VLOOKUP($A241, GOOGLEFINANCE(D$1, ""price"", $A$2, TODAY()), 2, FALSE), """")"),124.52)</f>
        <v>124.52</v>
      </c>
      <c r="E241" s="18">
        <f>IFERROR(__xludf.DUMMYFUNCTION("IFERROR(VLOOKUP($A241, GOOGLEFINANCE(E$1, ""price"", $A$2, TODAY()), 2, FALSE), """")"),55.29)</f>
        <v>55.29</v>
      </c>
      <c r="F241" s="18">
        <f>IFERROR(__xludf.DUMMYFUNCTION("IFERROR(VLOOKUP($A241, GOOGLEFINANCE(F$1, ""price"", $A$2, TODAY()), 2, FALSE), """")"),117.55)</f>
        <v>117.55</v>
      </c>
      <c r="G241" s="18">
        <f>IFERROR(__xludf.DUMMYFUNCTION("IFERROR(VLOOKUP($A241, GOOGLEFINANCE(G$1, ""price"", $A$2, TODAY()), 2, FALSE), """")"),157.38)</f>
        <v>157.38</v>
      </c>
      <c r="H241" s="18">
        <f>IFERROR(__xludf.DUMMYFUNCTION("IFERROR(VLOOKUP($A241, GOOGLEFINANCE(H$1, ""price"", $A$2, TODAY()), 2, FALSE), """")"),80.18)</f>
        <v>80.18</v>
      </c>
      <c r="I241" s="18">
        <f>IFERROR(__xludf.DUMMYFUNCTION("IFERROR(VLOOKUP($A241, GOOGLEFINANCE(I$1, ""price"", $A$2, TODAY()), 2, FALSE), """")"),163.17)</f>
        <v>163.17</v>
      </c>
      <c r="J241" s="18">
        <f>IFERROR(__xludf.DUMMYFUNCTION("IFERROR(VLOOKUP($A241, GOOGLEFINANCE(J$1, ""price"", $A$2, TODAY()), 2, FALSE), """")"),46.34)</f>
        <v>46.34</v>
      </c>
      <c r="K241" s="18">
        <f>IFERROR(__xludf.DUMMYFUNCTION("IFERROR(VLOOKUP($A241, GOOGLEFINANCE(K$1, ""price"", $A$2, TODAY()), 2, FALSE), """")"),48.52)</f>
        <v>48.52</v>
      </c>
      <c r="L241" s="18">
        <f>IFERROR(__xludf.DUMMYFUNCTION("IFERROR(VLOOKUP($A241, GOOGLEFINANCE(L$1, ""price"", $A$2, TODAY()), 2, FALSE), """")"),42.58)</f>
        <v>42.58</v>
      </c>
      <c r="M241" s="196">
        <f>IFERROR(__xludf.DUMMYFUNCTION("IFERROR(VLOOKUP($A241, GOOGLEFINANCE(M$1, ""price"", $A$2, TODAY()), 2, FALSE), """")"),40.62)</f>
        <v>40.62</v>
      </c>
      <c r="O241" s="18">
        <v>0.21116002071465562</v>
      </c>
      <c r="P241" s="18">
        <v>0.17912423039300304</v>
      </c>
      <c r="Q241" s="18">
        <v>0.07953564646987744</v>
      </c>
      <c r="R241" s="18">
        <v>0.16909776166637897</v>
      </c>
      <c r="S241" s="18">
        <v>0.22639392370101846</v>
      </c>
      <c r="T241" s="18">
        <v>0.11534035329995973</v>
      </c>
      <c r="U241" s="18">
        <v>0.23472294148109787</v>
      </c>
      <c r="V241" s="18">
        <v>0.06666091259566144</v>
      </c>
      <c r="W241" s="18">
        <v>0.06979688129351518</v>
      </c>
      <c r="X241" s="18">
        <v>0.0612520858507394</v>
      </c>
      <c r="Y241" s="196">
        <v>0.05843259105817366</v>
      </c>
      <c r="AA241" s="18">
        <v>0.008726782542557654</v>
      </c>
      <c r="AB241" s="18">
        <v>0.018896877347976737</v>
      </c>
      <c r="AC241" s="18">
        <v>0.013003070207886491</v>
      </c>
      <c r="AD241" s="18">
        <v>0.009758185863268487</v>
      </c>
      <c r="AE241" s="18">
        <v>-0.012870046194748408</v>
      </c>
      <c r="AF241" s="18">
        <v>-0.051088919512060293</v>
      </c>
      <c r="AG241" s="18">
        <v>-0.02743490069857324</v>
      </c>
      <c r="AH241" s="18">
        <v>-0.051090311836800795</v>
      </c>
      <c r="AI241" s="18">
        <v>-0.018614425672130674</v>
      </c>
      <c r="AJ241" s="18">
        <v>-0.033910886155865905</v>
      </c>
      <c r="AK241" s="18">
        <v>-0.043653259681224355</v>
      </c>
    </row>
    <row r="242">
      <c r="A242" s="230">
        <f>IFERROR(__xludf.DUMMYFUNCTION("""COMPUTED_VALUE"""),46035.66666666667)</f>
        <v>46035.66667</v>
      </c>
      <c r="B242" s="18">
        <f>IFERROR(__xludf.DUMMYFUNCTION("""COMPUTED_VALUE"""),693.77)</f>
        <v>693.77</v>
      </c>
      <c r="C242" s="18">
        <f>IFERROR(__xludf.DUMMYFUNCTION("IFERROR(VLOOKUP($A242, GOOGLEFINANCE(C$1, ""price"", $A$2, TODAY()), 2, FALSE), """")"),146.48)</f>
        <v>146.48</v>
      </c>
      <c r="D242" s="18">
        <f>IFERROR(__xludf.DUMMYFUNCTION("IFERROR(VLOOKUP($A242, GOOGLEFINANCE(D$1, ""price"", $A$2, TODAY()), 2, FALSE), """")"),124.21)</f>
        <v>124.21</v>
      </c>
      <c r="E242" s="18">
        <f>IFERROR(__xludf.DUMMYFUNCTION("IFERROR(VLOOKUP($A242, GOOGLEFINANCE(E$1, ""price"", $A$2, TODAY()), 2, FALSE), """")"),54.23)</f>
        <v>54.23</v>
      </c>
      <c r="F242" s="18">
        <f>IFERROR(__xludf.DUMMYFUNCTION("IFERROR(VLOOKUP($A242, GOOGLEFINANCE(F$1, ""price"", $A$2, TODAY()), 2, FALSE), """")"),116.89)</f>
        <v>116.89</v>
      </c>
      <c r="G242" s="18">
        <f>IFERROR(__xludf.DUMMYFUNCTION("IFERROR(VLOOKUP($A242, GOOGLEFINANCE(G$1, ""price"", $A$2, TODAY()), 2, FALSE), """")"),156.74)</f>
        <v>156.74</v>
      </c>
      <c r="H242" s="18">
        <f>IFERROR(__xludf.DUMMYFUNCTION("IFERROR(VLOOKUP($A242, GOOGLEFINANCE(H$1, ""price"", $A$2, TODAY()), 2, FALSE), """")"),81.11)</f>
        <v>81.11</v>
      </c>
      <c r="I242" s="18">
        <f>IFERROR(__xludf.DUMMYFUNCTION("IFERROR(VLOOKUP($A242, GOOGLEFINANCE(I$1, ""price"", $A$2, TODAY()), 2, FALSE), """")"),164.01)</f>
        <v>164.01</v>
      </c>
      <c r="J242" s="18">
        <f>IFERROR(__xludf.DUMMYFUNCTION("IFERROR(VLOOKUP($A242, GOOGLEFINANCE(J$1, ""price"", $A$2, TODAY()), 2, FALSE), """")"),47.0)</f>
        <v>47</v>
      </c>
      <c r="K242" s="18">
        <f>IFERROR(__xludf.DUMMYFUNCTION("IFERROR(VLOOKUP($A242, GOOGLEFINANCE(K$1, ""price"", $A$2, TODAY()), 2, FALSE), """")"),48.73)</f>
        <v>48.73</v>
      </c>
      <c r="L242" s="18">
        <f>IFERROR(__xludf.DUMMYFUNCTION("IFERROR(VLOOKUP($A242, GOOGLEFINANCE(L$1, ""price"", $A$2, TODAY()), 2, FALSE), """")"),42.85)</f>
        <v>42.85</v>
      </c>
      <c r="M242" s="196">
        <f>IFERROR(__xludf.DUMMYFUNCTION("IFERROR(VLOOKUP($A242, GOOGLEFINANCE(M$1, ""price"", $A$2, TODAY()), 2, FALSE), """")"),40.93)</f>
        <v>40.93</v>
      </c>
      <c r="O242" s="18">
        <v>0.21113625553137205</v>
      </c>
      <c r="P242" s="18">
        <v>0.17903628003517016</v>
      </c>
      <c r="Q242" s="18">
        <v>0.07816711590296496</v>
      </c>
      <c r="R242" s="18">
        <v>0.16848523285815184</v>
      </c>
      <c r="S242" s="18">
        <v>0.2259250183778486</v>
      </c>
      <c r="T242" s="18">
        <v>0.1169119448808683</v>
      </c>
      <c r="U242" s="18">
        <v>0.23640399556048833</v>
      </c>
      <c r="V242" s="18">
        <v>0.06774579471582802</v>
      </c>
      <c r="W242" s="18">
        <v>0.07023941652132551</v>
      </c>
      <c r="X242" s="18">
        <v>0.06176398518240916</v>
      </c>
      <c r="Y242" s="196">
        <v>0.0589964973982732</v>
      </c>
      <c r="AA242" s="18">
        <v>0.006277654830695978</v>
      </c>
      <c r="AB242" s="18">
        <v>0.010802852850952283</v>
      </c>
      <c r="AC242" s="18">
        <v>0.0021650063578784184</v>
      </c>
      <c r="AD242" s="18">
        <v>0.007413230401965176</v>
      </c>
      <c r="AE242" s="18">
        <v>-0.021553092403782226</v>
      </c>
      <c r="AF242" s="18">
        <v>-0.028002826038972195</v>
      </c>
      <c r="AG242" s="18">
        <v>-0.026020085614578803</v>
      </c>
      <c r="AH242" s="18">
        <v>-0.04752886772864573</v>
      </c>
      <c r="AI242" s="18">
        <v>-0.022296992613393574</v>
      </c>
      <c r="AJ242" s="18">
        <v>-0.015968492700529358</v>
      </c>
      <c r="AK242" s="18">
        <v>-0.026806273964465666</v>
      </c>
    </row>
    <row r="243">
      <c r="A243" s="230">
        <f>IFERROR(__xludf.DUMMYFUNCTION("""COMPUTED_VALUE"""),46036.66666666667)</f>
        <v>46036.66667</v>
      </c>
      <c r="B243" s="18">
        <f>IFERROR(__xludf.DUMMYFUNCTION("""COMPUTED_VALUE"""),690.36)</f>
        <v>690.36</v>
      </c>
      <c r="C243" s="18">
        <f>IFERROR(__xludf.DUMMYFUNCTION("IFERROR(VLOOKUP($A243, GOOGLEFINANCE(C$1, ""price"", $A$2, TODAY()), 2, FALSE), """")"),144.7)</f>
        <v>144.7</v>
      </c>
      <c r="D243" s="18">
        <f>IFERROR(__xludf.DUMMYFUNCTION("IFERROR(VLOOKUP($A243, GOOGLEFINANCE(D$1, ""price"", $A$2, TODAY()), 2, FALSE), """")"),122.25)</f>
        <v>122.25</v>
      </c>
      <c r="E243" s="18">
        <f>IFERROR(__xludf.DUMMYFUNCTION("IFERROR(VLOOKUP($A243, GOOGLEFINANCE(E$1, ""price"", $A$2, TODAY()), 2, FALSE), """")"),54.15)</f>
        <v>54.15</v>
      </c>
      <c r="F243" s="18">
        <f>IFERROR(__xludf.DUMMYFUNCTION("IFERROR(VLOOKUP($A243, GOOGLEFINANCE(F$1, ""price"", $A$2, TODAY()), 2, FALSE), """")"),116.64)</f>
        <v>116.64</v>
      </c>
      <c r="G243" s="18">
        <f>IFERROR(__xludf.DUMMYFUNCTION("IFERROR(VLOOKUP($A243, GOOGLEFINANCE(G$1, ""price"", $A$2, TODAY()), 2, FALSE), """")"),157.86)</f>
        <v>157.86</v>
      </c>
      <c r="H243" s="18">
        <f>IFERROR(__xludf.DUMMYFUNCTION("IFERROR(VLOOKUP($A243, GOOGLEFINANCE(H$1, ""price"", $A$2, TODAY()), 2, FALSE), """")"),82.23)</f>
        <v>82.23</v>
      </c>
      <c r="I243" s="18">
        <f>IFERROR(__xludf.DUMMYFUNCTION("IFERROR(VLOOKUP($A243, GOOGLEFINANCE(I$1, ""price"", $A$2, TODAY()), 2, FALSE), """")"),164.27)</f>
        <v>164.27</v>
      </c>
      <c r="J243" s="18">
        <f>IFERROR(__xludf.DUMMYFUNCTION("IFERROR(VLOOKUP($A243, GOOGLEFINANCE(J$1, ""price"", $A$2, TODAY()), 2, FALSE), """")"),48.06)</f>
        <v>48.06</v>
      </c>
      <c r="K243" s="18">
        <f>IFERROR(__xludf.DUMMYFUNCTION("IFERROR(VLOOKUP($A243, GOOGLEFINANCE(K$1, ""price"", $A$2, TODAY()), 2, FALSE), """")"),48.75)</f>
        <v>48.75</v>
      </c>
      <c r="L243" s="18">
        <f>IFERROR(__xludf.DUMMYFUNCTION("IFERROR(VLOOKUP($A243, GOOGLEFINANCE(L$1, ""price"", $A$2, TODAY()), 2, FALSE), """")"),43.17)</f>
        <v>43.17</v>
      </c>
      <c r="M243" s="196">
        <f>IFERROR(__xludf.DUMMYFUNCTION("IFERROR(VLOOKUP($A243, GOOGLEFINANCE(M$1, ""price"", $A$2, TODAY()), 2, FALSE), """")"),41.39)</f>
        <v>41.39</v>
      </c>
      <c r="O243" s="18">
        <v>0.20960078799466944</v>
      </c>
      <c r="P243" s="18">
        <v>0.17708152268381713</v>
      </c>
      <c r="Q243" s="18">
        <v>0.07843733704154354</v>
      </c>
      <c r="R243" s="18">
        <v>0.16895532765513646</v>
      </c>
      <c r="S243" s="18">
        <v>0.22866330610116462</v>
      </c>
      <c r="T243" s="18">
        <v>0.11911176777333565</v>
      </c>
      <c r="U243" s="18">
        <v>0.23794831682020975</v>
      </c>
      <c r="V243" s="18">
        <v>0.06961585259864418</v>
      </c>
      <c r="W243" s="18">
        <v>0.07061533113158353</v>
      </c>
      <c r="X243" s="18">
        <v>0.0625325916912915</v>
      </c>
      <c r="Y243" s="196">
        <v>0.0599542267802306</v>
      </c>
      <c r="AA243" s="18">
        <v>-0.0032388810562716808</v>
      </c>
      <c r="AB243" s="18">
        <v>-0.00501037759993217</v>
      </c>
      <c r="AC243" s="18">
        <v>0.004306940622238908</v>
      </c>
      <c r="AD243" s="18">
        <v>0.001349175465255259</v>
      </c>
      <c r="AE243" s="18">
        <v>-0.0047100597790106224</v>
      </c>
      <c r="AF243" s="18">
        <v>-0.002484189127594405</v>
      </c>
      <c r="AG243" s="18">
        <v>-0.009416124937836168</v>
      </c>
      <c r="AH243" s="18">
        <v>-0.019343076601638365</v>
      </c>
      <c r="AI243" s="18">
        <v>-0.01751714775770563</v>
      </c>
      <c r="AJ243" s="18">
        <v>0.008749824946523432</v>
      </c>
      <c r="AK243" s="18">
        <v>0.004065706539700509</v>
      </c>
    </row>
    <row r="244">
      <c r="A244" s="230">
        <f>IFERROR(__xludf.DUMMYFUNCTION("""COMPUTED_VALUE"""),46037.66666666667)</f>
        <v>46037.66667</v>
      </c>
      <c r="B244" s="18">
        <f>IFERROR(__xludf.DUMMYFUNCTION("""COMPUTED_VALUE"""),692.24)</f>
        <v>692.24</v>
      </c>
      <c r="C244" s="18">
        <f>IFERROR(__xludf.DUMMYFUNCTION("IFERROR(VLOOKUP($A244, GOOGLEFINANCE(C$1, ""price"", $A$2, TODAY()), 2, FALSE), """")"),145.46)</f>
        <v>145.46</v>
      </c>
      <c r="D244" s="18">
        <f>IFERROR(__xludf.DUMMYFUNCTION("IFERROR(VLOOKUP($A244, GOOGLEFINANCE(D$1, ""price"", $A$2, TODAY()), 2, FALSE), """")"),122.7)</f>
        <v>122.7</v>
      </c>
      <c r="E244" s="18">
        <f>IFERROR(__xludf.DUMMYFUNCTION("IFERROR(VLOOKUP($A244, GOOGLEFINANCE(E$1, ""price"", $A$2, TODAY()), 2, FALSE), """")"),54.37)</f>
        <v>54.37</v>
      </c>
      <c r="F244" s="18">
        <f>IFERROR(__xludf.DUMMYFUNCTION("IFERROR(VLOOKUP($A244, GOOGLEFINANCE(F$1, ""price"", $A$2, TODAY()), 2, FALSE), """")"),116.21)</f>
        <v>116.21</v>
      </c>
      <c r="G244" s="18">
        <f>IFERROR(__xludf.DUMMYFUNCTION("IFERROR(VLOOKUP($A244, GOOGLEFINANCE(G$1, ""price"", $A$2, TODAY()), 2, FALSE), """")"),156.96)</f>
        <v>156.96</v>
      </c>
      <c r="H244" s="18">
        <f>IFERROR(__xludf.DUMMYFUNCTION("IFERROR(VLOOKUP($A244, GOOGLEFINANCE(H$1, ""price"", $A$2, TODAY()), 2, FALSE), """")"),82.37)</f>
        <v>82.37</v>
      </c>
      <c r="I244" s="18">
        <f>IFERROR(__xludf.DUMMYFUNCTION("IFERROR(VLOOKUP($A244, GOOGLEFINANCE(I$1, ""price"", $A$2, TODAY()), 2, FALSE), """")"),165.78)</f>
        <v>165.78</v>
      </c>
      <c r="J244" s="18">
        <f>IFERROR(__xludf.DUMMYFUNCTION("IFERROR(VLOOKUP($A244, GOOGLEFINANCE(J$1, ""price"", $A$2, TODAY()), 2, FALSE), """")"),47.61)</f>
        <v>47.61</v>
      </c>
      <c r="K244" s="18">
        <f>IFERROR(__xludf.DUMMYFUNCTION("IFERROR(VLOOKUP($A244, GOOGLEFINANCE(K$1, ""price"", $A$2, TODAY()), 2, FALSE), """")"),48.96)</f>
        <v>48.96</v>
      </c>
      <c r="L244" s="18">
        <f>IFERROR(__xludf.DUMMYFUNCTION("IFERROR(VLOOKUP($A244, GOOGLEFINANCE(L$1, ""price"", $A$2, TODAY()), 2, FALSE), """")"),43.61)</f>
        <v>43.61</v>
      </c>
      <c r="M244" s="196">
        <f>IFERROR(__xludf.DUMMYFUNCTION("IFERROR(VLOOKUP($A244, GOOGLEFINANCE(M$1, ""price"", $A$2, TODAY()), 2, FALSE), """")"),41.7)</f>
        <v>41.7</v>
      </c>
      <c r="O244" s="18">
        <v>0.21012943487807698</v>
      </c>
      <c r="P244" s="18">
        <v>0.1772506645094187</v>
      </c>
      <c r="Q244" s="18">
        <v>0.07854212411880272</v>
      </c>
      <c r="R244" s="18">
        <v>0.16787530336299547</v>
      </c>
      <c r="S244" s="18">
        <v>0.22674217034554492</v>
      </c>
      <c r="T244" s="18">
        <v>0.11899052351785508</v>
      </c>
      <c r="U244" s="18">
        <v>0.23948341615624638</v>
      </c>
      <c r="V244" s="18">
        <v>0.06877672483531723</v>
      </c>
      <c r="W244" s="18">
        <v>0.07072691552062868</v>
      </c>
      <c r="X244" s="18">
        <v>0.06299838206402404</v>
      </c>
      <c r="Y244" s="196">
        <v>0.06023922339073154</v>
      </c>
      <c r="AA244" s="18">
        <v>-0.0018091501756358763</v>
      </c>
      <c r="AB244" s="18">
        <v>-0.00782526191970545</v>
      </c>
      <c r="AC244" s="18">
        <v>0.02004123245529299</v>
      </c>
      <c r="AD244" s="18">
        <v>-0.010732769007546383</v>
      </c>
      <c r="AE244" s="18">
        <v>-0.007635851744602906</v>
      </c>
      <c r="AF244" s="18">
        <v>-0.010832969192965058</v>
      </c>
      <c r="AG244" s="18">
        <v>0.005109943474422618</v>
      </c>
      <c r="AH244" s="18">
        <v>-0.03632888680126656</v>
      </c>
      <c r="AI244" s="18">
        <v>-0.024472443780610198</v>
      </c>
      <c r="AJ244" s="18">
        <v>0.02021557495270887</v>
      </c>
      <c r="AK244" s="18">
        <v>0.0065134530325794415</v>
      </c>
    </row>
    <row r="245">
      <c r="A245" s="230">
        <f>IFERROR(__xludf.DUMMYFUNCTION("""COMPUTED_VALUE"""),46038.66666666667)</f>
        <v>46038.66667</v>
      </c>
      <c r="B245" s="18">
        <f>IFERROR(__xludf.DUMMYFUNCTION("""COMPUTED_VALUE"""),691.66)</f>
        <v>691.66</v>
      </c>
      <c r="C245" s="18">
        <f>IFERROR(__xludf.DUMMYFUNCTION("IFERROR(VLOOKUP($A245, GOOGLEFINANCE(C$1, ""price"", $A$2, TODAY()), 2, FALSE), """")"),145.62)</f>
        <v>145.62</v>
      </c>
      <c r="D245" s="18">
        <f>IFERROR(__xludf.DUMMYFUNCTION("IFERROR(VLOOKUP($A245, GOOGLEFINANCE(D$1, ""price"", $A$2, TODAY()), 2, FALSE), """")"),122.3)</f>
        <v>122.3</v>
      </c>
      <c r="E245" s="18">
        <f>IFERROR(__xludf.DUMMYFUNCTION("IFERROR(VLOOKUP($A245, GOOGLEFINANCE(E$1, ""price"", $A$2, TODAY()), 2, FALSE), """")"),54.44)</f>
        <v>54.44</v>
      </c>
      <c r="F245" s="18">
        <f>IFERROR(__xludf.DUMMYFUNCTION("IFERROR(VLOOKUP($A245, GOOGLEFINANCE(F$1, ""price"", $A$2, TODAY()), 2, FALSE), """")"),115.17)</f>
        <v>115.17</v>
      </c>
      <c r="G245" s="18">
        <f>IFERROR(__xludf.DUMMYFUNCTION("IFERROR(VLOOKUP($A245, GOOGLEFINANCE(G$1, ""price"", $A$2, TODAY()), 2, FALSE), """")"),155.74)</f>
        <v>155.74</v>
      </c>
      <c r="H245" s="18">
        <f>IFERROR(__xludf.DUMMYFUNCTION("IFERROR(VLOOKUP($A245, GOOGLEFINANCE(H$1, ""price"", $A$2, TODAY()), 2, FALSE), """")"),82.11)</f>
        <v>82.11</v>
      </c>
      <c r="I245" s="18">
        <f>IFERROR(__xludf.DUMMYFUNCTION("IFERROR(VLOOKUP($A245, GOOGLEFINANCE(I$1, ""price"", $A$2, TODAY()), 2, FALSE), """")"),166.9)</f>
        <v>166.9</v>
      </c>
      <c r="J245" s="18">
        <f>IFERROR(__xludf.DUMMYFUNCTION("IFERROR(VLOOKUP($A245, GOOGLEFINANCE(J$1, ""price"", $A$2, TODAY()), 2, FALSE), """")"),47.69)</f>
        <v>47.69</v>
      </c>
      <c r="K245" s="18">
        <f>IFERROR(__xludf.DUMMYFUNCTION("IFERROR(VLOOKUP($A245, GOOGLEFINANCE(K$1, ""price"", $A$2, TODAY()), 2, FALSE), """")"),48.68)</f>
        <v>48.68</v>
      </c>
      <c r="L245" s="18">
        <f>IFERROR(__xludf.DUMMYFUNCTION("IFERROR(VLOOKUP($A245, GOOGLEFINANCE(L$1, ""price"", $A$2, TODAY()), 2, FALSE), """")"),43.39)</f>
        <v>43.39</v>
      </c>
      <c r="M245" s="196">
        <f>IFERROR(__xludf.DUMMYFUNCTION("IFERROR(VLOOKUP($A245, GOOGLEFINANCE(M$1, ""price"", $A$2, TODAY()), 2, FALSE), """")"),42.21)</f>
        <v>42.21</v>
      </c>
      <c r="O245" s="18">
        <v>0.2105369690310268</v>
      </c>
      <c r="P245" s="18">
        <v>0.17682098140704972</v>
      </c>
      <c r="Q245" s="18">
        <v>0.07870919237775786</v>
      </c>
      <c r="R245" s="18">
        <v>0.16651244831275483</v>
      </c>
      <c r="S245" s="18">
        <v>0.2251684353584131</v>
      </c>
      <c r="T245" s="18">
        <v>0.11871439724720238</v>
      </c>
      <c r="U245" s="18">
        <v>0.2413035306364399</v>
      </c>
      <c r="V245" s="18">
        <v>0.06895006216927392</v>
      </c>
      <c r="W245" s="18">
        <v>0.07038140126651823</v>
      </c>
      <c r="X245" s="18">
        <v>0.06273313477720267</v>
      </c>
      <c r="Y245" s="196">
        <v>0.06102709423705289</v>
      </c>
      <c r="AA245" s="18" t="s">
        <v>406</v>
      </c>
      <c r="AB245" s="18" t="s">
        <v>406</v>
      </c>
      <c r="AC245" s="18" t="s">
        <v>406</v>
      </c>
      <c r="AD245" s="18" t="s">
        <v>406</v>
      </c>
      <c r="AE245" s="18" t="s">
        <v>406</v>
      </c>
      <c r="AF245" s="18" t="s">
        <v>406</v>
      </c>
      <c r="AG245" s="18" t="s">
        <v>406</v>
      </c>
      <c r="AH245" s="18" t="s">
        <v>406</v>
      </c>
      <c r="AI245" s="18" t="s">
        <v>406</v>
      </c>
      <c r="AJ245" s="18" t="s">
        <v>406</v>
      </c>
      <c r="AK245" s="18" t="s">
        <v>406</v>
      </c>
    </row>
    <row r="246">
      <c r="A246" s="230">
        <f>IFERROR(__xludf.DUMMYFUNCTION("""COMPUTED_VALUE"""),46042.66666666667)</f>
        <v>46042.66667</v>
      </c>
      <c r="B246" s="18">
        <f>IFERROR(__xludf.DUMMYFUNCTION("""COMPUTED_VALUE"""),677.58)</f>
        <v>677.58</v>
      </c>
      <c r="C246" s="18">
        <f>IFERROR(__xludf.DUMMYFUNCTION("IFERROR(VLOOKUP($A246, GOOGLEFINANCE(C$1, ""price"", $A$2, TODAY()), 2, FALSE), """")"),141.84)</f>
        <v>141.84</v>
      </c>
      <c r="D246" s="18">
        <f>IFERROR(__xludf.DUMMYFUNCTION("IFERROR(VLOOKUP($A246, GOOGLEFINANCE(D$1, ""price"", $A$2, TODAY()), 2, FALSE), """")"),119.12)</f>
        <v>119.12</v>
      </c>
      <c r="E246" s="18">
        <f>IFERROR(__xludf.DUMMYFUNCTION("IFERROR(VLOOKUP($A246, GOOGLEFINANCE(E$1, ""price"", $A$2, TODAY()), 2, FALSE), """")"),53.2)</f>
        <v>53.2</v>
      </c>
      <c r="F246" s="18">
        <f>IFERROR(__xludf.DUMMYFUNCTION("IFERROR(VLOOKUP($A246, GOOGLEFINANCE(F$1, ""price"", $A$2, TODAY()), 2, FALSE), """")"),113.47)</f>
        <v>113.47</v>
      </c>
      <c r="G246" s="18">
        <f>IFERROR(__xludf.DUMMYFUNCTION("IFERROR(VLOOKUP($A246, GOOGLEFINANCE(G$1, ""price"", $A$2, TODAY()), 2, FALSE), """")"),155.4)</f>
        <v>155.4</v>
      </c>
      <c r="H246" s="18">
        <f>IFERROR(__xludf.DUMMYFUNCTION("IFERROR(VLOOKUP($A246, GOOGLEFINANCE(H$1, ""price"", $A$2, TODAY()), 2, FALSE), """")"),82.36)</f>
        <v>82.36</v>
      </c>
      <c r="I246" s="18">
        <f>IFERROR(__xludf.DUMMYFUNCTION("IFERROR(VLOOKUP($A246, GOOGLEFINANCE(I$1, ""price"", $A$2, TODAY()), 2, FALSE), """")"),163.53)</f>
        <v>163.53</v>
      </c>
      <c r="J246" s="18">
        <f>IFERROR(__xludf.DUMMYFUNCTION("IFERROR(VLOOKUP($A246, GOOGLEFINANCE(J$1, ""price"", $A$2, TODAY()), 2, FALSE), """")"),47.6)</f>
        <v>47.6</v>
      </c>
      <c r="K246" s="18">
        <f>IFERROR(__xludf.DUMMYFUNCTION("IFERROR(VLOOKUP($A246, GOOGLEFINANCE(K$1, ""price"", $A$2, TODAY()), 2, FALSE), """")"),48.19)</f>
        <v>48.19</v>
      </c>
      <c r="L246" s="18">
        <f>IFERROR(__xludf.DUMMYFUNCTION("IFERROR(VLOOKUP($A246, GOOGLEFINANCE(L$1, ""price"", $A$2, TODAY()), 2, FALSE), """")"),42.96)</f>
        <v>42.96</v>
      </c>
      <c r="M246" s="196">
        <f>IFERROR(__xludf.DUMMYFUNCTION("IFERROR(VLOOKUP($A246, GOOGLEFINANCE(M$1, ""price"", $A$2, TODAY()), 2, FALSE), """")"),41.4)</f>
        <v>41.4</v>
      </c>
      <c r="O246" s="18">
        <v>0.20933321526609402</v>
      </c>
      <c r="P246" s="18">
        <v>0.1758021193069453</v>
      </c>
      <c r="Q246" s="18">
        <v>0.07851471412969686</v>
      </c>
      <c r="R246" s="18">
        <v>0.1674636205318929</v>
      </c>
      <c r="S246" s="18">
        <v>0.22934561232621978</v>
      </c>
      <c r="T246" s="18">
        <v>0.12155022285191416</v>
      </c>
      <c r="U246" s="18">
        <v>0.24134419551934824</v>
      </c>
      <c r="V246" s="18">
        <v>0.07025000737920245</v>
      </c>
      <c r="W246" s="18">
        <v>0.07112075326898668</v>
      </c>
      <c r="X246" s="18">
        <v>0.06340210750022138</v>
      </c>
      <c r="Y246" s="196">
        <v>0.06109979633401221</v>
      </c>
      <c r="AA246" s="18" t="s">
        <v>406</v>
      </c>
      <c r="AB246" s="18" t="s">
        <v>406</v>
      </c>
      <c r="AC246" s="18" t="s">
        <v>406</v>
      </c>
      <c r="AD246" s="18" t="s">
        <v>406</v>
      </c>
      <c r="AE246" s="18" t="s">
        <v>406</v>
      </c>
      <c r="AF246" s="18" t="s">
        <v>406</v>
      </c>
      <c r="AG246" s="18" t="s">
        <v>406</v>
      </c>
      <c r="AH246" s="18" t="s">
        <v>406</v>
      </c>
      <c r="AI246" s="18" t="s">
        <v>406</v>
      </c>
      <c r="AJ246" s="18" t="s">
        <v>406</v>
      </c>
      <c r="AK246" s="18" t="s">
        <v>406</v>
      </c>
    </row>
    <row r="247">
      <c r="A247" s="230">
        <f>IFERROR(__xludf.DUMMYFUNCTION("""COMPUTED_VALUE"""),46043.66666666667)</f>
        <v>46043.66667</v>
      </c>
      <c r="B247" s="18">
        <f>IFERROR(__xludf.DUMMYFUNCTION("""COMPUTED_VALUE"""),685.4)</f>
        <v>685.4</v>
      </c>
      <c r="C247" s="18">
        <f>IFERROR(__xludf.DUMMYFUNCTION("IFERROR(VLOOKUP($A247, GOOGLEFINANCE(C$1, ""price"", $A$2, TODAY()), 2, FALSE), """")"),143.81)</f>
        <v>143.81</v>
      </c>
      <c r="D247" s="18">
        <f>IFERROR(__xludf.DUMMYFUNCTION("IFERROR(VLOOKUP($A247, GOOGLEFINANCE(D$1, ""price"", $A$2, TODAY()), 2, FALSE), """")"),121.4)</f>
        <v>121.4</v>
      </c>
      <c r="E247" s="18">
        <f>IFERROR(__xludf.DUMMYFUNCTION("IFERROR(VLOOKUP($A247, GOOGLEFINANCE(E$1, ""price"", $A$2, TODAY()), 2, FALSE), """")"),53.46)</f>
        <v>53.46</v>
      </c>
      <c r="F247" s="18">
        <f>IFERROR(__xludf.DUMMYFUNCTION("IFERROR(VLOOKUP($A247, GOOGLEFINANCE(F$1, ""price"", $A$2, TODAY()), 2, FALSE), """")"),114.63)</f>
        <v>114.63</v>
      </c>
      <c r="G247" s="18">
        <f>IFERROR(__xludf.DUMMYFUNCTION("IFERROR(VLOOKUP($A247, GOOGLEFINANCE(G$1, ""price"", $A$2, TODAY()), 2, FALSE), """")"),158.26)</f>
        <v>158.26</v>
      </c>
      <c r="H247" s="18">
        <f>IFERROR(__xludf.DUMMYFUNCTION("IFERROR(VLOOKUP($A247, GOOGLEFINANCE(H$1, ""price"", $A$2, TODAY()), 2, FALSE), """")"),82.44)</f>
        <v>82.44</v>
      </c>
      <c r="I247" s="18">
        <f>IFERROR(__xludf.DUMMYFUNCTION("IFERROR(VLOOKUP($A247, GOOGLEFINANCE(I$1, ""price"", $A$2, TODAY()), 2, FALSE), """")"),166.36)</f>
        <v>166.36</v>
      </c>
      <c r="J247" s="18">
        <f>IFERROR(__xludf.DUMMYFUNCTION("IFERROR(VLOOKUP($A247, GOOGLEFINANCE(J$1, ""price"", $A$2, TODAY()), 2, FALSE), """")"),48.75)</f>
        <v>48.75</v>
      </c>
      <c r="K247" s="18">
        <f>IFERROR(__xludf.DUMMYFUNCTION("IFERROR(VLOOKUP($A247, GOOGLEFINANCE(K$1, ""price"", $A$2, TODAY()), 2, FALSE), """")"),49.24)</f>
        <v>49.24</v>
      </c>
      <c r="L247" s="18">
        <f>IFERROR(__xludf.DUMMYFUNCTION("IFERROR(VLOOKUP($A247, GOOGLEFINANCE(L$1, ""price"", $A$2, TODAY()), 2, FALSE), """")"),43.02)</f>
        <v>43.02</v>
      </c>
      <c r="M247" s="196">
        <f>IFERROR(__xludf.DUMMYFUNCTION("IFERROR(VLOOKUP($A247, GOOGLEFINANCE(M$1, ""price"", $A$2, TODAY()), 2, FALSE), """")"),41.55)</f>
        <v>41.55</v>
      </c>
      <c r="O247" s="18">
        <v>0.20981908374671726</v>
      </c>
      <c r="P247" s="18">
        <v>0.17712284797198719</v>
      </c>
      <c r="Q247" s="18">
        <v>0.07799824919754889</v>
      </c>
      <c r="R247" s="18">
        <v>0.1672454041435658</v>
      </c>
      <c r="S247" s="18">
        <v>0.23090166326232855</v>
      </c>
      <c r="T247" s="18">
        <v>0.12028012839217975</v>
      </c>
      <c r="U247" s="18">
        <v>0.24271957980741177</v>
      </c>
      <c r="V247" s="18">
        <v>0.07112634957688942</v>
      </c>
      <c r="W247" s="18">
        <v>0.07184126057776481</v>
      </c>
      <c r="X247" s="18">
        <v>0.06276626787277503</v>
      </c>
      <c r="Y247" s="196">
        <v>0.06062153487014882</v>
      </c>
      <c r="AA247" s="18" t="s">
        <v>406</v>
      </c>
      <c r="AB247" s="18" t="s">
        <v>406</v>
      </c>
      <c r="AC247" s="18" t="s">
        <v>406</v>
      </c>
      <c r="AD247" s="18" t="s">
        <v>406</v>
      </c>
      <c r="AE247" s="18" t="s">
        <v>406</v>
      </c>
      <c r="AF247" s="18" t="s">
        <v>406</v>
      </c>
      <c r="AG247" s="18" t="s">
        <v>406</v>
      </c>
      <c r="AH247" s="18" t="s">
        <v>406</v>
      </c>
      <c r="AI247" s="18" t="s">
        <v>406</v>
      </c>
      <c r="AJ247" s="18" t="s">
        <v>406</v>
      </c>
      <c r="AK247" s="18" t="s">
        <v>406</v>
      </c>
    </row>
    <row r="248">
      <c r="A248" s="230">
        <f>IFERROR(__xludf.DUMMYFUNCTION("""COMPUTED_VALUE"""),46044.66666666667)</f>
        <v>46044.66667</v>
      </c>
      <c r="B248" s="18">
        <f>IFERROR(__xludf.DUMMYFUNCTION("""COMPUTED_VALUE"""),688.98)</f>
        <v>688.98</v>
      </c>
      <c r="C248" s="18">
        <f>IFERROR(__xludf.DUMMYFUNCTION("IFERROR(VLOOKUP($A248, GOOGLEFINANCE(C$1, ""price"", $A$2, TODAY()), 2, FALSE), """")"),144.88)</f>
        <v>144.88</v>
      </c>
      <c r="D248" s="18">
        <f>IFERROR(__xludf.DUMMYFUNCTION("IFERROR(VLOOKUP($A248, GOOGLEFINANCE(D$1, ""price"", $A$2, TODAY()), 2, FALSE), """")"),122.62)</f>
        <v>122.62</v>
      </c>
      <c r="E248" s="18">
        <f>IFERROR(__xludf.DUMMYFUNCTION("IFERROR(VLOOKUP($A248, GOOGLEFINANCE(E$1, ""price"", $A$2, TODAY()), 2, FALSE), """")"),53.81)</f>
        <v>53.81</v>
      </c>
      <c r="F248" s="18">
        <f>IFERROR(__xludf.DUMMYFUNCTION("IFERROR(VLOOKUP($A248, GOOGLEFINANCE(F$1, ""price"", $A$2, TODAY()), 2, FALSE), """")"),116.25)</f>
        <v>116.25</v>
      </c>
      <c r="G248" s="18">
        <f>IFERROR(__xludf.DUMMYFUNCTION("IFERROR(VLOOKUP($A248, GOOGLEFINANCE(G$1, ""price"", $A$2, TODAY()), 2, FALSE), """")"),158.29)</f>
        <v>158.29</v>
      </c>
      <c r="H248" s="18">
        <f>IFERROR(__xludf.DUMMYFUNCTION("IFERROR(VLOOKUP($A248, GOOGLEFINANCE(H$1, ""price"", $A$2, TODAY()), 2, FALSE), """")"),82.27)</f>
        <v>82.27</v>
      </c>
      <c r="I248" s="18">
        <f>IFERROR(__xludf.DUMMYFUNCTION("IFERROR(VLOOKUP($A248, GOOGLEFINANCE(I$1, ""price"", $A$2, TODAY()), 2, FALSE), """")"),165.5)</f>
        <v>165.5</v>
      </c>
      <c r="J248" s="18">
        <f>IFERROR(__xludf.DUMMYFUNCTION("IFERROR(VLOOKUP($A248, GOOGLEFINANCE(J$1, ""price"", $A$2, TODAY()), 2, FALSE), """")"),48.91)</f>
        <v>48.91</v>
      </c>
      <c r="K248" s="18">
        <f>IFERROR(__xludf.DUMMYFUNCTION("IFERROR(VLOOKUP($A248, GOOGLEFINANCE(K$1, ""price"", $A$2, TODAY()), 2, FALSE), """")"),49.52)</f>
        <v>49.52</v>
      </c>
      <c r="L248" s="18">
        <f>IFERROR(__xludf.DUMMYFUNCTION("IFERROR(VLOOKUP($A248, GOOGLEFINANCE(L$1, ""price"", $A$2, TODAY()), 2, FALSE), """")"),42.71)</f>
        <v>42.71</v>
      </c>
      <c r="M248" s="196">
        <f>IFERROR(__xludf.DUMMYFUNCTION("IFERROR(VLOOKUP($A248, GOOGLEFINANCE(M$1, ""price"", $A$2, TODAY()), 2, FALSE), """")"),41.14)</f>
        <v>41.14</v>
      </c>
      <c r="O248" s="18">
        <v>0.21028186594676188</v>
      </c>
      <c r="P248" s="18">
        <v>0.1779732357978461</v>
      </c>
      <c r="Q248" s="18">
        <v>0.07810096084066301</v>
      </c>
      <c r="R248" s="18">
        <v>0.16872768440303057</v>
      </c>
      <c r="S248" s="18">
        <v>0.2297454207669308</v>
      </c>
      <c r="T248" s="18">
        <v>0.11940840082440708</v>
      </c>
      <c r="U248" s="18">
        <v>0.24021016575227147</v>
      </c>
      <c r="V248" s="18">
        <v>0.07098899822926645</v>
      </c>
      <c r="W248" s="18">
        <v>0.07187436500333827</v>
      </c>
      <c r="X248" s="18">
        <v>0.06199018839443816</v>
      </c>
      <c r="Y248" s="196">
        <v>0.05971145751690905</v>
      </c>
      <c r="AA248" s="18" t="s">
        <v>406</v>
      </c>
      <c r="AB248" s="18" t="s">
        <v>406</v>
      </c>
      <c r="AC248" s="18" t="s">
        <v>406</v>
      </c>
      <c r="AD248" s="18" t="s">
        <v>406</v>
      </c>
      <c r="AE248" s="18" t="s">
        <v>406</v>
      </c>
      <c r="AF248" s="18" t="s">
        <v>406</v>
      </c>
      <c r="AG248" s="18" t="s">
        <v>406</v>
      </c>
      <c r="AH248" s="18" t="s">
        <v>406</v>
      </c>
      <c r="AI248" s="18" t="s">
        <v>406</v>
      </c>
      <c r="AJ248" s="18" t="s">
        <v>406</v>
      </c>
      <c r="AK248" s="18" t="s">
        <v>406</v>
      </c>
    </row>
    <row r="249">
      <c r="A249" s="230">
        <f>IFERROR(__xludf.DUMMYFUNCTION("""COMPUTED_VALUE"""),46045.66666666667)</f>
        <v>46045.66667</v>
      </c>
      <c r="B249" s="18">
        <f>IFERROR(__xludf.DUMMYFUNCTION("""COMPUTED_VALUE"""),689.23)</f>
        <v>689.23</v>
      </c>
      <c r="C249" s="18">
        <f>IFERROR(__xludf.DUMMYFUNCTION("IFERROR(VLOOKUP($A249, GOOGLEFINANCE(C$1, ""price"", $A$2, TODAY()), 2, FALSE), """")"),145.09)</f>
        <v>145.09</v>
      </c>
      <c r="D249" s="18">
        <f>IFERROR(__xludf.DUMMYFUNCTION("IFERROR(VLOOKUP($A249, GOOGLEFINANCE(D$1, ""price"", $A$2, TODAY()), 2, FALSE), """")"),123.13)</f>
        <v>123.13</v>
      </c>
      <c r="E249" s="18">
        <f>IFERROR(__xludf.DUMMYFUNCTION("IFERROR(VLOOKUP($A249, GOOGLEFINANCE(E$1, ""price"", $A$2, TODAY()), 2, FALSE), """")"),53.07)</f>
        <v>53.07</v>
      </c>
      <c r="F249" s="18">
        <f>IFERROR(__xludf.DUMMYFUNCTION("IFERROR(VLOOKUP($A249, GOOGLEFINANCE(F$1, ""price"", $A$2, TODAY()), 2, FALSE), """")"),116.96)</f>
        <v>116.96</v>
      </c>
      <c r="G249" s="18">
        <f>IFERROR(__xludf.DUMMYFUNCTION("IFERROR(VLOOKUP($A249, GOOGLEFINANCE(G$1, ""price"", $A$2, TODAY()), 2, FALSE), """")"),157.48)</f>
        <v>157.48</v>
      </c>
      <c r="H249" s="18">
        <f>IFERROR(__xludf.DUMMYFUNCTION("IFERROR(VLOOKUP($A249, GOOGLEFINANCE(H$1, ""price"", $A$2, TODAY()), 2, FALSE), """")"),82.91)</f>
        <v>82.91</v>
      </c>
      <c r="I249" s="18">
        <f>IFERROR(__xludf.DUMMYFUNCTION("IFERROR(VLOOKUP($A249, GOOGLEFINANCE(I$1, ""price"", $A$2, TODAY()), 2, FALSE), """")"),164.22)</f>
        <v>164.22</v>
      </c>
      <c r="J249" s="18">
        <f>IFERROR(__xludf.DUMMYFUNCTION("IFERROR(VLOOKUP($A249, GOOGLEFINANCE(J$1, ""price"", $A$2, TODAY()), 2, FALSE), """")"),49.19)</f>
        <v>49.19</v>
      </c>
      <c r="K249" s="18">
        <f>IFERROR(__xludf.DUMMYFUNCTION("IFERROR(VLOOKUP($A249, GOOGLEFINANCE(K$1, ""price"", $A$2, TODAY()), 2, FALSE), """")"),49.97)</f>
        <v>49.97</v>
      </c>
      <c r="L249" s="18">
        <f>IFERROR(__xludf.DUMMYFUNCTION("IFERROR(VLOOKUP($A249, GOOGLEFINANCE(L$1, ""price"", $A$2, TODAY()), 2, FALSE), """")"),42.56)</f>
        <v>42.56</v>
      </c>
      <c r="M249" s="196">
        <f>IFERROR(__xludf.DUMMYFUNCTION("IFERROR(VLOOKUP($A249, GOOGLEFINANCE(M$1, ""price"", $A$2, TODAY()), 2, FALSE), """")"),41.25)</f>
        <v>41.25</v>
      </c>
      <c r="O249" s="18">
        <v>0.21051027958736562</v>
      </c>
      <c r="P249" s="18">
        <v>0.17864863688463936</v>
      </c>
      <c r="Q249" s="18">
        <v>0.07699896986492172</v>
      </c>
      <c r="R249" s="18">
        <v>0.1696966179649754</v>
      </c>
      <c r="S249" s="18">
        <v>0.22848686215051578</v>
      </c>
      <c r="T249" s="18">
        <v>0.1202936610420324</v>
      </c>
      <c r="U249" s="18">
        <v>0.23826589092175327</v>
      </c>
      <c r="V249" s="18">
        <v>0.07136949929631617</v>
      </c>
      <c r="W249" s="18">
        <v>0.07250119698794306</v>
      </c>
      <c r="X249" s="18">
        <v>0.06175006891748763</v>
      </c>
      <c r="Y249" s="196">
        <v>0.05984939715334504</v>
      </c>
      <c r="AA249" s="18" t="s">
        <v>406</v>
      </c>
      <c r="AB249" s="18" t="s">
        <v>406</v>
      </c>
      <c r="AC249" s="18" t="s">
        <v>406</v>
      </c>
      <c r="AD249" s="18" t="s">
        <v>406</v>
      </c>
      <c r="AE249" s="18" t="s">
        <v>406</v>
      </c>
      <c r="AF249" s="18" t="s">
        <v>406</v>
      </c>
      <c r="AG249" s="18" t="s">
        <v>406</v>
      </c>
      <c r="AH249" s="18" t="s">
        <v>406</v>
      </c>
      <c r="AI249" s="18" t="s">
        <v>406</v>
      </c>
      <c r="AJ249" s="18" t="s">
        <v>406</v>
      </c>
      <c r="AK249" s="18" t="s">
        <v>406</v>
      </c>
    </row>
    <row r="250">
      <c r="C250" s="18" t="str">
        <f>IFERROR(__xludf.DUMMYFUNCTION("IFERROR(VLOOKUP($A250, GOOGLEFINANCE(C$1, ""price"", $A$2, TODAY()), 2, FALSE), """")"),"")</f>
        <v/>
      </c>
      <c r="D250" s="18" t="str">
        <f>IFERROR(__xludf.DUMMYFUNCTION("IFERROR(VLOOKUP($A250, GOOGLEFINANCE(D$1, ""price"", $A$2, TODAY()), 2, FALSE), """")"),"")</f>
        <v/>
      </c>
      <c r="E250" s="18" t="str">
        <f>IFERROR(__xludf.DUMMYFUNCTION("IFERROR(VLOOKUP($A250, GOOGLEFINANCE(E$1, ""price"", $A$2, TODAY()), 2, FALSE), """")"),"")</f>
        <v/>
      </c>
      <c r="F250" s="18" t="str">
        <f>IFERROR(__xludf.DUMMYFUNCTION("IFERROR(VLOOKUP($A250, GOOGLEFINANCE(F$1, ""price"", $A$2, TODAY()), 2, FALSE), """")"),"")</f>
        <v/>
      </c>
      <c r="G250" s="18" t="str">
        <f>IFERROR(__xludf.DUMMYFUNCTION("IFERROR(VLOOKUP($A250, GOOGLEFINANCE(G$1, ""price"", $A$2, TODAY()), 2, FALSE), """")"),"")</f>
        <v/>
      </c>
      <c r="H250" s="18" t="str">
        <f>IFERROR(__xludf.DUMMYFUNCTION("IFERROR(VLOOKUP($A250, GOOGLEFINANCE(H$1, ""price"", $A$2, TODAY()), 2, FALSE), """")"),"")</f>
        <v/>
      </c>
      <c r="I250" s="18" t="str">
        <f>IFERROR(__xludf.DUMMYFUNCTION("IFERROR(VLOOKUP($A250, GOOGLEFINANCE(I$1, ""price"", $A$2, TODAY()), 2, FALSE), """")"),"")</f>
        <v/>
      </c>
      <c r="J250" s="18" t="str">
        <f>IFERROR(__xludf.DUMMYFUNCTION("IFERROR(VLOOKUP($A250, GOOGLEFINANCE(J$1, ""price"", $A$2, TODAY()), 2, FALSE), """")"),"")</f>
        <v/>
      </c>
      <c r="K250" s="18" t="str">
        <f>IFERROR(__xludf.DUMMYFUNCTION("IFERROR(VLOOKUP($A250, GOOGLEFINANCE(K$1, ""price"", $A$2, TODAY()), 2, FALSE), """")"),"")</f>
        <v/>
      </c>
      <c r="L250" s="18" t="str">
        <f>IFERROR(__xludf.DUMMYFUNCTION("IFERROR(VLOOKUP($A250, GOOGLEFINANCE(L$1, ""price"", $A$2, TODAY()), 2, FALSE), """")"),"")</f>
        <v/>
      </c>
      <c r="M250" s="196" t="str">
        <f>IFERROR(__xludf.DUMMYFUNCTION("IFERROR(VLOOKUP($A250, GOOGLEFINANCE(M$1, ""price"", $A$2, TODAY()), 2, FALSE), """")"),"")</f>
        <v/>
      </c>
      <c r="O250" s="18" t="e">
        <v>#DIV/0!</v>
      </c>
      <c r="P250" s="18" t="e">
        <v>#DIV/0!</v>
      </c>
      <c r="Q250" s="18" t="e">
        <v>#DIV/0!</v>
      </c>
      <c r="R250" s="18" t="e">
        <v>#DIV/0!</v>
      </c>
      <c r="S250" s="18" t="e">
        <v>#DIV/0!</v>
      </c>
      <c r="T250" s="18" t="e">
        <v>#DIV/0!</v>
      </c>
      <c r="U250" s="18" t="e">
        <v>#DIV/0!</v>
      </c>
      <c r="V250" s="18" t="e">
        <v>#DIV/0!</v>
      </c>
      <c r="W250" s="18" t="e">
        <v>#DIV/0!</v>
      </c>
      <c r="X250" s="18" t="e">
        <v>#DIV/0!</v>
      </c>
      <c r="Y250" s="196" t="e">
        <v>#DIV/0!</v>
      </c>
      <c r="AA250" s="18" t="s">
        <v>406</v>
      </c>
      <c r="AB250" s="18" t="s">
        <v>406</v>
      </c>
      <c r="AC250" s="18" t="s">
        <v>406</v>
      </c>
      <c r="AD250" s="18" t="s">
        <v>406</v>
      </c>
      <c r="AE250" s="18" t="s">
        <v>406</v>
      </c>
      <c r="AF250" s="18" t="s">
        <v>406</v>
      </c>
      <c r="AG250" s="18" t="s">
        <v>406</v>
      </c>
      <c r="AH250" s="18" t="s">
        <v>406</v>
      </c>
      <c r="AI250" s="18" t="s">
        <v>406</v>
      </c>
      <c r="AJ250" s="18" t="s">
        <v>406</v>
      </c>
      <c r="AK250" s="18" t="s">
        <v>406</v>
      </c>
    </row>
    <row r="251">
      <c r="C251" s="18" t="str">
        <f>IFERROR(__xludf.DUMMYFUNCTION("IFERROR(VLOOKUP($A251, GOOGLEFINANCE(C$1, ""price"", $A$2, TODAY()), 2, FALSE), """")"),"")</f>
        <v/>
      </c>
      <c r="D251" s="18" t="str">
        <f>IFERROR(__xludf.DUMMYFUNCTION("IFERROR(VLOOKUP($A251, GOOGLEFINANCE(D$1, ""price"", $A$2, TODAY()), 2, FALSE), """")"),"")</f>
        <v/>
      </c>
      <c r="E251" s="18" t="str">
        <f>IFERROR(__xludf.DUMMYFUNCTION("IFERROR(VLOOKUP($A251, GOOGLEFINANCE(E$1, ""price"", $A$2, TODAY()), 2, FALSE), """")"),"")</f>
        <v/>
      </c>
      <c r="F251" s="18" t="str">
        <f>IFERROR(__xludf.DUMMYFUNCTION("IFERROR(VLOOKUP($A251, GOOGLEFINANCE(F$1, ""price"", $A$2, TODAY()), 2, FALSE), """")"),"")</f>
        <v/>
      </c>
      <c r="G251" s="18" t="str">
        <f>IFERROR(__xludf.DUMMYFUNCTION("IFERROR(VLOOKUP($A251, GOOGLEFINANCE(G$1, ""price"", $A$2, TODAY()), 2, FALSE), """")"),"")</f>
        <v/>
      </c>
      <c r="H251" s="18" t="str">
        <f>IFERROR(__xludf.DUMMYFUNCTION("IFERROR(VLOOKUP($A251, GOOGLEFINANCE(H$1, ""price"", $A$2, TODAY()), 2, FALSE), """")"),"")</f>
        <v/>
      </c>
      <c r="I251" s="18" t="str">
        <f>IFERROR(__xludf.DUMMYFUNCTION("IFERROR(VLOOKUP($A251, GOOGLEFINANCE(I$1, ""price"", $A$2, TODAY()), 2, FALSE), """")"),"")</f>
        <v/>
      </c>
      <c r="J251" s="18" t="str">
        <f>IFERROR(__xludf.DUMMYFUNCTION("IFERROR(VLOOKUP($A251, GOOGLEFINANCE(J$1, ""price"", $A$2, TODAY()), 2, FALSE), """")"),"")</f>
        <v/>
      </c>
      <c r="K251" s="18" t="str">
        <f>IFERROR(__xludf.DUMMYFUNCTION("IFERROR(VLOOKUP($A251, GOOGLEFINANCE(K$1, ""price"", $A$2, TODAY()), 2, FALSE), """")"),"")</f>
        <v/>
      </c>
      <c r="L251" s="18" t="str">
        <f>IFERROR(__xludf.DUMMYFUNCTION("IFERROR(VLOOKUP($A251, GOOGLEFINANCE(L$1, ""price"", $A$2, TODAY()), 2, FALSE), """")"),"")</f>
        <v/>
      </c>
      <c r="M251" s="196" t="str">
        <f>IFERROR(__xludf.DUMMYFUNCTION("IFERROR(VLOOKUP($A251, GOOGLEFINANCE(M$1, ""price"", $A$2, TODAY()), 2, FALSE), """")"),"")</f>
        <v/>
      </c>
      <c r="O251" s="18" t="e">
        <v>#DIV/0!</v>
      </c>
      <c r="P251" s="18" t="e">
        <v>#DIV/0!</v>
      </c>
      <c r="Q251" s="18" t="e">
        <v>#DIV/0!</v>
      </c>
      <c r="R251" s="18" t="e">
        <v>#DIV/0!</v>
      </c>
      <c r="S251" s="18" t="e">
        <v>#DIV/0!</v>
      </c>
      <c r="T251" s="18" t="e">
        <v>#DIV/0!</v>
      </c>
      <c r="U251" s="18" t="e">
        <v>#DIV/0!</v>
      </c>
      <c r="V251" s="18" t="e">
        <v>#DIV/0!</v>
      </c>
      <c r="W251" s="18" t="e">
        <v>#DIV/0!</v>
      </c>
      <c r="X251" s="18" t="e">
        <v>#DIV/0!</v>
      </c>
      <c r="Y251" s="196" t="e">
        <v>#DIV/0!</v>
      </c>
      <c r="AA251" s="18" t="s">
        <v>406</v>
      </c>
      <c r="AB251" s="18" t="s">
        <v>406</v>
      </c>
      <c r="AC251" s="18" t="s">
        <v>406</v>
      </c>
      <c r="AD251" s="18" t="s">
        <v>406</v>
      </c>
      <c r="AE251" s="18" t="s">
        <v>406</v>
      </c>
      <c r="AF251" s="18" t="s">
        <v>406</v>
      </c>
      <c r="AG251" s="18" t="s">
        <v>406</v>
      </c>
      <c r="AH251" s="18" t="s">
        <v>406</v>
      </c>
      <c r="AI251" s="18" t="s">
        <v>406</v>
      </c>
      <c r="AJ251" s="18" t="s">
        <v>406</v>
      </c>
      <c r="AK251" s="18" t="s">
        <v>406</v>
      </c>
    </row>
    <row r="252">
      <c r="C252" s="18" t="str">
        <f>IFERROR(__xludf.DUMMYFUNCTION("IFERROR(VLOOKUP($A252, GOOGLEFINANCE(C$1, ""price"", $A$2, TODAY()), 2, FALSE), """")"),"")</f>
        <v/>
      </c>
      <c r="D252" s="18" t="str">
        <f>IFERROR(__xludf.DUMMYFUNCTION("IFERROR(VLOOKUP($A252, GOOGLEFINANCE(D$1, ""price"", $A$2, TODAY()), 2, FALSE), """")"),"")</f>
        <v/>
      </c>
      <c r="E252" s="18" t="str">
        <f>IFERROR(__xludf.DUMMYFUNCTION("IFERROR(VLOOKUP($A252, GOOGLEFINANCE(E$1, ""price"", $A$2, TODAY()), 2, FALSE), """")"),"")</f>
        <v/>
      </c>
      <c r="F252" s="18" t="str">
        <f>IFERROR(__xludf.DUMMYFUNCTION("IFERROR(VLOOKUP($A252, GOOGLEFINANCE(F$1, ""price"", $A$2, TODAY()), 2, FALSE), """")"),"")</f>
        <v/>
      </c>
      <c r="G252" s="18" t="str">
        <f>IFERROR(__xludf.DUMMYFUNCTION("IFERROR(VLOOKUP($A252, GOOGLEFINANCE(G$1, ""price"", $A$2, TODAY()), 2, FALSE), """")"),"")</f>
        <v/>
      </c>
      <c r="H252" s="18" t="str">
        <f>IFERROR(__xludf.DUMMYFUNCTION("IFERROR(VLOOKUP($A252, GOOGLEFINANCE(H$1, ""price"", $A$2, TODAY()), 2, FALSE), """")"),"")</f>
        <v/>
      </c>
      <c r="I252" s="18" t="str">
        <f>IFERROR(__xludf.DUMMYFUNCTION("IFERROR(VLOOKUP($A252, GOOGLEFINANCE(I$1, ""price"", $A$2, TODAY()), 2, FALSE), """")"),"")</f>
        <v/>
      </c>
      <c r="J252" s="18" t="str">
        <f>IFERROR(__xludf.DUMMYFUNCTION("IFERROR(VLOOKUP($A252, GOOGLEFINANCE(J$1, ""price"", $A$2, TODAY()), 2, FALSE), """")"),"")</f>
        <v/>
      </c>
      <c r="K252" s="18" t="str">
        <f>IFERROR(__xludf.DUMMYFUNCTION("IFERROR(VLOOKUP($A252, GOOGLEFINANCE(K$1, ""price"", $A$2, TODAY()), 2, FALSE), """")"),"")</f>
        <v/>
      </c>
      <c r="L252" s="18" t="str">
        <f>IFERROR(__xludf.DUMMYFUNCTION("IFERROR(VLOOKUP($A252, GOOGLEFINANCE(L$1, ""price"", $A$2, TODAY()), 2, FALSE), """")"),"")</f>
        <v/>
      </c>
      <c r="M252" s="196" t="str">
        <f>IFERROR(__xludf.DUMMYFUNCTION("IFERROR(VLOOKUP($A252, GOOGLEFINANCE(M$1, ""price"", $A$2, TODAY()), 2, FALSE), """")"),"")</f>
        <v/>
      </c>
      <c r="O252" s="18" t="e">
        <v>#DIV/0!</v>
      </c>
      <c r="P252" s="18" t="e">
        <v>#DIV/0!</v>
      </c>
      <c r="Q252" s="18" t="e">
        <v>#DIV/0!</v>
      </c>
      <c r="R252" s="18" t="e">
        <v>#DIV/0!</v>
      </c>
      <c r="S252" s="18" t="e">
        <v>#DIV/0!</v>
      </c>
      <c r="T252" s="18" t="e">
        <v>#DIV/0!</v>
      </c>
      <c r="U252" s="18" t="e">
        <v>#DIV/0!</v>
      </c>
      <c r="V252" s="18" t="e">
        <v>#DIV/0!</v>
      </c>
      <c r="W252" s="18" t="e">
        <v>#DIV/0!</v>
      </c>
      <c r="X252" s="18" t="e">
        <v>#DIV/0!</v>
      </c>
      <c r="Y252" s="196" t="e">
        <v>#DIV/0!</v>
      </c>
      <c r="AA252" s="18" t="s">
        <v>406</v>
      </c>
      <c r="AB252" s="18" t="s">
        <v>406</v>
      </c>
      <c r="AC252" s="18" t="s">
        <v>406</v>
      </c>
      <c r="AD252" s="18" t="s">
        <v>406</v>
      </c>
      <c r="AE252" s="18" t="s">
        <v>406</v>
      </c>
      <c r="AF252" s="18" t="s">
        <v>406</v>
      </c>
      <c r="AG252" s="18" t="s">
        <v>406</v>
      </c>
      <c r="AH252" s="18" t="s">
        <v>406</v>
      </c>
      <c r="AI252" s="18" t="s">
        <v>406</v>
      </c>
      <c r="AJ252" s="18" t="s">
        <v>406</v>
      </c>
      <c r="AK252" s="18" t="s">
        <v>406</v>
      </c>
    </row>
    <row r="253">
      <c r="Y253" s="196"/>
    </row>
    <row r="254">
      <c r="Y254" s="196"/>
    </row>
    <row r="255">
      <c r="Y255" s="196"/>
    </row>
    <row r="256">
      <c r="Y256" s="196"/>
    </row>
    <row r="257">
      <c r="Y257" s="196"/>
    </row>
    <row r="258">
      <c r="Y258" s="196"/>
    </row>
    <row r="259">
      <c r="Y259" s="196"/>
    </row>
    <row r="260">
      <c r="Y260" s="196"/>
    </row>
    <row r="261">
      <c r="Y261" s="196"/>
    </row>
    <row r="262">
      <c r="Y262" s="196"/>
    </row>
    <row r="263">
      <c r="Y263" s="196"/>
    </row>
    <row r="264">
      <c r="Y264" s="196"/>
    </row>
    <row r="265">
      <c r="Y265" s="196"/>
    </row>
    <row r="266">
      <c r="Y266" s="196"/>
    </row>
    <row r="267">
      <c r="Y267" s="196"/>
    </row>
    <row r="268">
      <c r="Y268" s="196"/>
    </row>
    <row r="269">
      <c r="Y269" s="196"/>
    </row>
    <row r="270">
      <c r="Y270" s="196"/>
    </row>
    <row r="271">
      <c r="Y271" s="196"/>
    </row>
    <row r="272">
      <c r="Y272" s="196"/>
    </row>
    <row r="273">
      <c r="Y273" s="196"/>
    </row>
    <row r="274">
      <c r="Y274" s="196"/>
    </row>
    <row r="275">
      <c r="Y275" s="196"/>
    </row>
    <row r="276">
      <c r="Y276" s="196"/>
    </row>
    <row r="277">
      <c r="Y277" s="196"/>
    </row>
    <row r="278">
      <c r="Y278" s="196"/>
    </row>
    <row r="279">
      <c r="Y279" s="196"/>
    </row>
    <row r="280">
      <c r="Y280" s="196"/>
    </row>
    <row r="281">
      <c r="Y281" s="196"/>
    </row>
    <row r="282">
      <c r="Y282" s="196"/>
    </row>
    <row r="283">
      <c r="Y283" s="196"/>
    </row>
    <row r="284">
      <c r="Y284" s="196"/>
    </row>
    <row r="285">
      <c r="Y285" s="196"/>
    </row>
    <row r="286">
      <c r="Y286" s="196"/>
    </row>
    <row r="287">
      <c r="Y287" s="196"/>
    </row>
    <row r="288">
      <c r="Y288" s="196"/>
    </row>
    <row r="289">
      <c r="Y289" s="196"/>
    </row>
    <row r="290">
      <c r="Y290" s="196"/>
    </row>
    <row r="291">
      <c r="Y291" s="196"/>
    </row>
    <row r="292">
      <c r="Y292" s="196"/>
    </row>
    <row r="293">
      <c r="Y293" s="196"/>
    </row>
    <row r="294">
      <c r="Y294" s="196"/>
    </row>
    <row r="295">
      <c r="Y295" s="196"/>
    </row>
    <row r="296">
      <c r="Y296" s="196"/>
    </row>
    <row r="297">
      <c r="Y297" s="196"/>
    </row>
    <row r="298">
      <c r="Y298" s="196"/>
    </row>
    <row r="299">
      <c r="Y299" s="196"/>
    </row>
    <row r="300">
      <c r="Y300" s="196"/>
    </row>
    <row r="301">
      <c r="Y301" s="196"/>
    </row>
    <row r="302">
      <c r="Y302" s="196"/>
    </row>
    <row r="303">
      <c r="Y303" s="196"/>
    </row>
    <row r="304">
      <c r="Y304" s="196"/>
    </row>
    <row r="305">
      <c r="Y305" s="196"/>
    </row>
    <row r="306">
      <c r="Y306" s="196"/>
    </row>
    <row r="307">
      <c r="Y307" s="196"/>
    </row>
    <row r="308">
      <c r="Y308" s="196"/>
    </row>
    <row r="309">
      <c r="Y309" s="196"/>
    </row>
    <row r="310">
      <c r="Y310" s="196"/>
    </row>
    <row r="311">
      <c r="Y311" s="196"/>
    </row>
    <row r="312">
      <c r="Y312" s="196"/>
    </row>
    <row r="313">
      <c r="Y313" s="196"/>
    </row>
    <row r="314">
      <c r="Y314" s="196"/>
    </row>
    <row r="315">
      <c r="Y315" s="196"/>
    </row>
    <row r="316">
      <c r="Y316" s="196"/>
    </row>
    <row r="317">
      <c r="Y317" s="196"/>
    </row>
    <row r="318">
      <c r="Y318" s="196"/>
    </row>
    <row r="319">
      <c r="Y319" s="196"/>
    </row>
    <row r="320">
      <c r="Y320" s="196"/>
    </row>
    <row r="321">
      <c r="Y321" s="196"/>
    </row>
    <row r="322">
      <c r="Y322" s="196"/>
    </row>
    <row r="323">
      <c r="Y323" s="196"/>
    </row>
    <row r="324">
      <c r="Y324" s="196"/>
    </row>
    <row r="325">
      <c r="Y325" s="196"/>
    </row>
    <row r="326">
      <c r="Y326" s="196"/>
    </row>
    <row r="327">
      <c r="Y327" s="196"/>
    </row>
    <row r="328">
      <c r="Y328" s="196"/>
    </row>
    <row r="329">
      <c r="Y329" s="196"/>
    </row>
    <row r="330">
      <c r="Y330" s="196"/>
    </row>
    <row r="331">
      <c r="Y331" s="196"/>
    </row>
    <row r="332">
      <c r="Y332" s="196"/>
    </row>
    <row r="333">
      <c r="Y333" s="196"/>
    </row>
    <row r="334">
      <c r="Y334" s="196"/>
    </row>
    <row r="335">
      <c r="Y335" s="196"/>
    </row>
    <row r="336">
      <c r="Y336" s="196"/>
    </row>
    <row r="337">
      <c r="Y337" s="196"/>
    </row>
    <row r="338">
      <c r="Y338" s="196"/>
    </row>
    <row r="339">
      <c r="Y339" s="196"/>
    </row>
    <row r="340">
      <c r="Y340" s="196"/>
    </row>
    <row r="341">
      <c r="Y341" s="196"/>
    </row>
    <row r="342">
      <c r="Y342" s="196"/>
    </row>
    <row r="343">
      <c r="Y343" s="196"/>
    </row>
    <row r="344">
      <c r="Y344" s="196"/>
    </row>
    <row r="345">
      <c r="Y345" s="196"/>
    </row>
    <row r="346">
      <c r="Y346" s="196"/>
    </row>
    <row r="347">
      <c r="Y347" s="196"/>
    </row>
    <row r="348">
      <c r="Y348" s="196"/>
    </row>
    <row r="349">
      <c r="Y349" s="196"/>
    </row>
    <row r="350">
      <c r="Y350" s="196"/>
    </row>
    <row r="351">
      <c r="Y351" s="196"/>
    </row>
    <row r="352">
      <c r="Y352" s="196"/>
    </row>
    <row r="353">
      <c r="Y353" s="196"/>
    </row>
    <row r="354">
      <c r="Y354" s="196"/>
    </row>
    <row r="355">
      <c r="Y355" s="196"/>
    </row>
    <row r="356">
      <c r="Y356" s="196"/>
    </row>
    <row r="357">
      <c r="Y357" s="196"/>
    </row>
    <row r="358">
      <c r="Y358" s="196"/>
    </row>
    <row r="359">
      <c r="Y359" s="196"/>
    </row>
    <row r="360">
      <c r="Y360" s="196"/>
    </row>
    <row r="361">
      <c r="Y361" s="196"/>
    </row>
    <row r="362">
      <c r="Y362" s="196"/>
    </row>
    <row r="363">
      <c r="Y363" s="196"/>
    </row>
    <row r="364">
      <c r="Y364" s="196"/>
    </row>
    <row r="365">
      <c r="Y365" s="196"/>
    </row>
    <row r="366">
      <c r="Y366" s="196"/>
    </row>
    <row r="367">
      <c r="Y367" s="196"/>
    </row>
    <row r="368">
      <c r="Y368" s="196"/>
    </row>
    <row r="369">
      <c r="Y369" s="196"/>
    </row>
    <row r="370">
      <c r="Y370" s="196"/>
    </row>
    <row r="371">
      <c r="Y371" s="196"/>
    </row>
    <row r="372">
      <c r="Y372" s="196"/>
    </row>
    <row r="373">
      <c r="Y373" s="196"/>
    </row>
    <row r="374">
      <c r="Y374" s="196"/>
    </row>
    <row r="375">
      <c r="Y375" s="196"/>
    </row>
    <row r="376">
      <c r="Y376" s="196"/>
    </row>
    <row r="377">
      <c r="Y377" s="196"/>
    </row>
    <row r="378">
      <c r="Y378" s="196"/>
    </row>
    <row r="379">
      <c r="Y379" s="196"/>
    </row>
    <row r="380">
      <c r="Y380" s="196"/>
    </row>
    <row r="381">
      <c r="Y381" s="196"/>
    </row>
    <row r="382">
      <c r="Y382" s="196"/>
    </row>
    <row r="383">
      <c r="Y383" s="196"/>
    </row>
    <row r="384">
      <c r="Y384" s="196"/>
    </row>
    <row r="385">
      <c r="Y385" s="196"/>
    </row>
    <row r="386">
      <c r="Y386" s="196"/>
    </row>
    <row r="387">
      <c r="Y387" s="196"/>
    </row>
    <row r="388">
      <c r="Y388" s="196"/>
    </row>
    <row r="389">
      <c r="Y389" s="196"/>
    </row>
    <row r="390">
      <c r="Y390" s="196"/>
    </row>
    <row r="391">
      <c r="Y391" s="196"/>
    </row>
    <row r="392">
      <c r="Y392" s="196"/>
    </row>
    <row r="393">
      <c r="Y393" s="196"/>
    </row>
    <row r="394">
      <c r="Y394" s="196"/>
    </row>
    <row r="395">
      <c r="Y395" s="196"/>
    </row>
    <row r="396">
      <c r="Y396" s="196"/>
    </row>
    <row r="397">
      <c r="Y397" s="196"/>
    </row>
    <row r="398">
      <c r="Y398" s="196"/>
    </row>
    <row r="399">
      <c r="Y399" s="196"/>
    </row>
    <row r="400">
      <c r="Y400" s="196"/>
    </row>
    <row r="401">
      <c r="Y401" s="196"/>
    </row>
    <row r="402">
      <c r="Y402" s="196"/>
    </row>
    <row r="403">
      <c r="Y403" s="196"/>
    </row>
    <row r="404">
      <c r="Y404" s="196"/>
    </row>
    <row r="405">
      <c r="Y405" s="196"/>
    </row>
    <row r="406">
      <c r="Y406" s="196"/>
    </row>
    <row r="407">
      <c r="Y407" s="196"/>
    </row>
    <row r="408">
      <c r="Y408" s="196"/>
    </row>
    <row r="409">
      <c r="Y409" s="196"/>
    </row>
    <row r="410">
      <c r="Y410" s="196"/>
    </row>
    <row r="411">
      <c r="Y411" s="196"/>
    </row>
    <row r="412">
      <c r="Y412" s="196"/>
    </row>
    <row r="413">
      <c r="Y413" s="196"/>
    </row>
    <row r="414">
      <c r="Y414" s="196"/>
    </row>
    <row r="415">
      <c r="Y415" s="196"/>
    </row>
    <row r="416">
      <c r="Y416" s="196"/>
    </row>
    <row r="417">
      <c r="Y417" s="196"/>
    </row>
    <row r="418">
      <c r="Y418" s="196"/>
    </row>
    <row r="419">
      <c r="Y419" s="196"/>
    </row>
    <row r="420">
      <c r="Y420" s="196"/>
    </row>
    <row r="421">
      <c r="Y421" s="196"/>
    </row>
    <row r="422">
      <c r="Y422" s="196"/>
    </row>
    <row r="423">
      <c r="Y423" s="196"/>
    </row>
    <row r="424">
      <c r="Y424" s="196"/>
    </row>
    <row r="425">
      <c r="Y425" s="196"/>
    </row>
    <row r="426">
      <c r="Y426" s="196"/>
    </row>
    <row r="427">
      <c r="Y427" s="196"/>
    </row>
    <row r="428">
      <c r="Y428" s="196"/>
    </row>
    <row r="429">
      <c r="Y429" s="196"/>
    </row>
    <row r="430">
      <c r="Y430" s="196"/>
    </row>
    <row r="431">
      <c r="Y431" s="196"/>
    </row>
    <row r="432">
      <c r="Y432" s="196"/>
    </row>
    <row r="433">
      <c r="Y433" s="196"/>
    </row>
    <row r="434">
      <c r="Y434" s="196"/>
    </row>
    <row r="435">
      <c r="Y435" s="196"/>
    </row>
    <row r="436">
      <c r="Y436" s="196"/>
    </row>
    <row r="437">
      <c r="Y437" s="196"/>
    </row>
    <row r="438">
      <c r="Y438" s="196"/>
    </row>
    <row r="439">
      <c r="Y439" s="196"/>
    </row>
    <row r="440">
      <c r="Y440" s="196"/>
    </row>
    <row r="441">
      <c r="Y441" s="196"/>
    </row>
    <row r="442">
      <c r="Y442" s="196"/>
    </row>
    <row r="443">
      <c r="Y443" s="196"/>
    </row>
    <row r="444">
      <c r="Y444" s="196"/>
    </row>
    <row r="445">
      <c r="Y445" s="196"/>
    </row>
    <row r="446">
      <c r="Y446" s="196"/>
    </row>
    <row r="447">
      <c r="Y447" s="196"/>
    </row>
    <row r="448">
      <c r="Y448" s="196"/>
    </row>
    <row r="449">
      <c r="Y449" s="196"/>
    </row>
    <row r="450">
      <c r="Y450" s="196"/>
    </row>
    <row r="451">
      <c r="Y451" s="196"/>
    </row>
    <row r="452">
      <c r="Y452" s="196"/>
    </row>
    <row r="453">
      <c r="Y453" s="196"/>
    </row>
    <row r="454">
      <c r="Y454" s="196"/>
    </row>
    <row r="455">
      <c r="Y455" s="196"/>
    </row>
    <row r="456">
      <c r="Y456" s="196"/>
    </row>
    <row r="457">
      <c r="Y457" s="196"/>
    </row>
    <row r="458">
      <c r="Y458" s="196"/>
    </row>
    <row r="459">
      <c r="Y459" s="196"/>
    </row>
    <row r="460">
      <c r="Y460" s="196"/>
    </row>
    <row r="461">
      <c r="Y461" s="196"/>
    </row>
    <row r="462">
      <c r="Y462" s="196"/>
    </row>
    <row r="463">
      <c r="Y463" s="196"/>
    </row>
    <row r="464">
      <c r="Y464" s="196"/>
    </row>
    <row r="465">
      <c r="Y465" s="196"/>
    </row>
    <row r="466">
      <c r="Y466" s="196"/>
    </row>
    <row r="467">
      <c r="Y467" s="196"/>
    </row>
    <row r="468">
      <c r="Y468" s="196"/>
    </row>
    <row r="469">
      <c r="Y469" s="196"/>
    </row>
    <row r="470">
      <c r="Y470" s="196"/>
    </row>
    <row r="471">
      <c r="Y471" s="196"/>
    </row>
    <row r="472">
      <c r="Y472" s="196"/>
    </row>
    <row r="473">
      <c r="Y473" s="196"/>
    </row>
    <row r="474">
      <c r="Y474" s="196"/>
    </row>
    <row r="475">
      <c r="Y475" s="196"/>
    </row>
    <row r="476">
      <c r="Y476" s="196"/>
    </row>
    <row r="477">
      <c r="Y477" s="196"/>
    </row>
    <row r="478">
      <c r="Y478" s="196"/>
    </row>
    <row r="479">
      <c r="Y479" s="196"/>
    </row>
    <row r="480">
      <c r="Y480" s="196"/>
    </row>
    <row r="481">
      <c r="Y481" s="196"/>
    </row>
    <row r="482">
      <c r="Y482" s="196"/>
    </row>
    <row r="483">
      <c r="Y483" s="196"/>
    </row>
    <row r="484">
      <c r="Y484" s="196"/>
    </row>
    <row r="485">
      <c r="Y485" s="196"/>
    </row>
    <row r="486">
      <c r="Y486" s="196"/>
    </row>
    <row r="487">
      <c r="Y487" s="196"/>
    </row>
    <row r="488">
      <c r="Y488" s="196"/>
    </row>
    <row r="489">
      <c r="Y489" s="196"/>
    </row>
    <row r="490">
      <c r="Y490" s="196"/>
    </row>
    <row r="491">
      <c r="Y491" s="196"/>
    </row>
    <row r="492">
      <c r="Y492" s="196"/>
    </row>
    <row r="493">
      <c r="Y493" s="196"/>
    </row>
    <row r="494">
      <c r="Y494" s="196"/>
    </row>
    <row r="495">
      <c r="Y495" s="196"/>
    </row>
    <row r="496">
      <c r="Y496" s="196"/>
    </row>
    <row r="497">
      <c r="Y497" s="196"/>
    </row>
    <row r="498">
      <c r="Y498" s="196"/>
    </row>
    <row r="499">
      <c r="Y499" s="196"/>
    </row>
    <row r="500">
      <c r="Y500" s="196"/>
    </row>
    <row r="501">
      <c r="Y501" s="196"/>
    </row>
    <row r="502">
      <c r="Y502" s="196"/>
    </row>
    <row r="503">
      <c r="Y503" s="196"/>
    </row>
    <row r="504">
      <c r="Y504" s="196"/>
    </row>
    <row r="505">
      <c r="Y505" s="196"/>
    </row>
    <row r="506">
      <c r="Y506" s="196"/>
    </row>
    <row r="507">
      <c r="Y507" s="196"/>
    </row>
    <row r="508">
      <c r="Y508" s="196"/>
    </row>
    <row r="509">
      <c r="Y509" s="196"/>
    </row>
    <row r="510">
      <c r="Y510" s="196"/>
    </row>
    <row r="511">
      <c r="Y511" s="196"/>
    </row>
    <row r="512">
      <c r="Y512" s="196"/>
    </row>
    <row r="513">
      <c r="Y513" s="196"/>
    </row>
    <row r="514">
      <c r="Y514" s="196"/>
    </row>
    <row r="515">
      <c r="Y515" s="196"/>
    </row>
    <row r="516">
      <c r="Y516" s="196"/>
    </row>
    <row r="517">
      <c r="Y517" s="196"/>
    </row>
    <row r="518">
      <c r="Y518" s="196"/>
    </row>
    <row r="519">
      <c r="Y519" s="196"/>
    </row>
    <row r="520">
      <c r="Y520" s="196"/>
    </row>
    <row r="521">
      <c r="Y521" s="196"/>
    </row>
    <row r="522">
      <c r="Y522" s="196"/>
    </row>
    <row r="523">
      <c r="Y523" s="196"/>
    </row>
    <row r="524">
      <c r="Y524" s="196"/>
    </row>
    <row r="525">
      <c r="Y525" s="196"/>
    </row>
    <row r="526">
      <c r="Y526" s="196"/>
    </row>
    <row r="527">
      <c r="Y527" s="196"/>
    </row>
    <row r="528">
      <c r="Y528" s="196"/>
    </row>
    <row r="529">
      <c r="Y529" s="196"/>
    </row>
    <row r="530">
      <c r="Y530" s="196"/>
    </row>
    <row r="531">
      <c r="Y531" s="196"/>
    </row>
    <row r="532">
      <c r="Y532" s="196"/>
    </row>
    <row r="533">
      <c r="Y533" s="196"/>
    </row>
    <row r="534">
      <c r="Y534" s="196"/>
    </row>
    <row r="535">
      <c r="Y535" s="196"/>
    </row>
    <row r="536">
      <c r="Y536" s="196"/>
    </row>
    <row r="537">
      <c r="Y537" s="196"/>
    </row>
    <row r="538">
      <c r="Y538" s="196"/>
    </row>
    <row r="539">
      <c r="Y539" s="196"/>
    </row>
    <row r="540">
      <c r="Y540" s="196"/>
    </row>
    <row r="541">
      <c r="Y541" s="196"/>
    </row>
    <row r="542">
      <c r="Y542" s="196"/>
    </row>
    <row r="543">
      <c r="Y543" s="196"/>
    </row>
    <row r="544">
      <c r="Y544" s="196"/>
    </row>
    <row r="545">
      <c r="Y545" s="196"/>
    </row>
    <row r="546">
      <c r="Y546" s="196"/>
    </row>
    <row r="547">
      <c r="Y547" s="196"/>
    </row>
    <row r="548">
      <c r="Y548" s="196"/>
    </row>
    <row r="549">
      <c r="Y549" s="196"/>
    </row>
    <row r="550">
      <c r="Y550" s="196"/>
    </row>
    <row r="551">
      <c r="Y551" s="196"/>
    </row>
    <row r="552">
      <c r="Y552" s="196"/>
    </row>
    <row r="553">
      <c r="Y553" s="196"/>
    </row>
    <row r="554">
      <c r="Y554" s="196"/>
    </row>
    <row r="555">
      <c r="Y555" s="196"/>
    </row>
    <row r="556">
      <c r="Y556" s="196"/>
    </row>
    <row r="557">
      <c r="Y557" s="196"/>
    </row>
    <row r="558">
      <c r="Y558" s="196"/>
    </row>
    <row r="559">
      <c r="Y559" s="196"/>
    </row>
    <row r="560">
      <c r="Y560" s="196"/>
    </row>
    <row r="561">
      <c r="Y561" s="196"/>
    </row>
    <row r="562">
      <c r="Y562" s="196"/>
    </row>
    <row r="563">
      <c r="Y563" s="196"/>
    </row>
    <row r="564">
      <c r="Y564" s="196"/>
    </row>
    <row r="565">
      <c r="Y565" s="196"/>
    </row>
    <row r="566">
      <c r="Y566" s="196"/>
    </row>
    <row r="567">
      <c r="Y567" s="196"/>
    </row>
    <row r="568">
      <c r="Y568" s="196"/>
    </row>
    <row r="569">
      <c r="Y569" s="196"/>
    </row>
    <row r="570">
      <c r="Y570" s="196"/>
    </row>
    <row r="571">
      <c r="Y571" s="196"/>
    </row>
    <row r="572">
      <c r="Y572" s="196"/>
    </row>
    <row r="573">
      <c r="Y573" s="196"/>
    </row>
    <row r="574">
      <c r="Y574" s="196"/>
    </row>
    <row r="575">
      <c r="Y575" s="196"/>
    </row>
    <row r="576">
      <c r="Y576" s="196"/>
    </row>
    <row r="577">
      <c r="Y577" s="196"/>
    </row>
    <row r="578">
      <c r="Y578" s="196"/>
    </row>
    <row r="579">
      <c r="Y579" s="196"/>
    </row>
    <row r="580">
      <c r="Y580" s="196"/>
    </row>
    <row r="581">
      <c r="Y581" s="196"/>
    </row>
    <row r="582">
      <c r="Y582" s="196"/>
    </row>
    <row r="583">
      <c r="Y583" s="196"/>
    </row>
    <row r="584">
      <c r="Y584" s="196"/>
    </row>
    <row r="585">
      <c r="Y585" s="196"/>
    </row>
    <row r="586">
      <c r="Y586" s="196"/>
    </row>
    <row r="587">
      <c r="Y587" s="196"/>
    </row>
    <row r="588">
      <c r="Y588" s="196"/>
    </row>
    <row r="589">
      <c r="Y589" s="196"/>
    </row>
    <row r="590">
      <c r="Y590" s="196"/>
    </row>
    <row r="591">
      <c r="Y591" s="196"/>
    </row>
    <row r="592">
      <c r="Y592" s="196"/>
    </row>
    <row r="593">
      <c r="Y593" s="196"/>
    </row>
    <row r="594">
      <c r="Y594" s="196"/>
    </row>
    <row r="595">
      <c r="Y595" s="196"/>
    </row>
    <row r="596">
      <c r="Y596" s="196"/>
    </row>
    <row r="597">
      <c r="Y597" s="196"/>
    </row>
    <row r="598">
      <c r="Y598" s="196"/>
    </row>
    <row r="599">
      <c r="Y599" s="196"/>
    </row>
    <row r="600">
      <c r="Y600" s="196"/>
    </row>
    <row r="601">
      <c r="Y601" s="196"/>
    </row>
    <row r="602">
      <c r="Y602" s="196"/>
    </row>
    <row r="603">
      <c r="Y603" s="196"/>
    </row>
    <row r="604">
      <c r="Y604" s="196"/>
    </row>
    <row r="605">
      <c r="Y605" s="196"/>
    </row>
    <row r="606">
      <c r="Y606" s="196"/>
    </row>
    <row r="607">
      <c r="Y607" s="196"/>
    </row>
    <row r="608">
      <c r="Y608" s="196"/>
    </row>
    <row r="609">
      <c r="Y609" s="196"/>
    </row>
    <row r="610">
      <c r="Y610" s="196"/>
    </row>
    <row r="611">
      <c r="Y611" s="196"/>
    </row>
    <row r="612">
      <c r="Y612" s="196"/>
    </row>
    <row r="613">
      <c r="Y613" s="196"/>
    </row>
    <row r="614">
      <c r="Y614" s="196"/>
    </row>
    <row r="615">
      <c r="Y615" s="196"/>
    </row>
    <row r="616">
      <c r="Y616" s="196"/>
    </row>
    <row r="617">
      <c r="Y617" s="196"/>
    </row>
    <row r="618">
      <c r="Y618" s="196"/>
    </row>
    <row r="619">
      <c r="Y619" s="196"/>
    </row>
    <row r="620">
      <c r="Y620" s="196"/>
    </row>
    <row r="621">
      <c r="Y621" s="196"/>
    </row>
    <row r="622">
      <c r="Y622" s="196"/>
    </row>
    <row r="623">
      <c r="Y623" s="196"/>
    </row>
    <row r="624">
      <c r="Y624" s="196"/>
    </row>
    <row r="625">
      <c r="Y625" s="196"/>
    </row>
    <row r="626">
      <c r="Y626" s="196"/>
    </row>
    <row r="627">
      <c r="Y627" s="196"/>
    </row>
    <row r="628">
      <c r="Y628" s="196"/>
    </row>
    <row r="629">
      <c r="Y629" s="196"/>
    </row>
    <row r="630">
      <c r="Y630" s="196"/>
    </row>
    <row r="631">
      <c r="Y631" s="196"/>
    </row>
    <row r="632">
      <c r="Y632" s="196"/>
    </row>
    <row r="633">
      <c r="Y633" s="196"/>
    </row>
    <row r="634">
      <c r="Y634" s="196"/>
    </row>
    <row r="635">
      <c r="Y635" s="196"/>
    </row>
    <row r="636">
      <c r="Y636" s="196"/>
    </row>
    <row r="637">
      <c r="Y637" s="196"/>
    </row>
    <row r="638">
      <c r="Y638" s="196"/>
    </row>
    <row r="639">
      <c r="Y639" s="196"/>
    </row>
    <row r="640">
      <c r="Y640" s="196"/>
    </row>
    <row r="641">
      <c r="Y641" s="196"/>
    </row>
    <row r="642">
      <c r="Y642" s="196"/>
    </row>
    <row r="643">
      <c r="Y643" s="196"/>
    </row>
    <row r="644">
      <c r="Y644" s="196"/>
    </row>
    <row r="645">
      <c r="Y645" s="196"/>
    </row>
    <row r="646">
      <c r="Y646" s="196"/>
    </row>
    <row r="647">
      <c r="Y647" s="196"/>
    </row>
    <row r="648">
      <c r="Y648" s="196"/>
    </row>
    <row r="649">
      <c r="Y649" s="196"/>
    </row>
    <row r="650">
      <c r="Y650" s="196"/>
    </row>
    <row r="651">
      <c r="Y651" s="196"/>
    </row>
    <row r="652">
      <c r="Y652" s="196"/>
    </row>
    <row r="653">
      <c r="Y653" s="196"/>
    </row>
    <row r="654">
      <c r="Y654" s="196"/>
    </row>
    <row r="655">
      <c r="Y655" s="196"/>
    </row>
    <row r="656">
      <c r="Y656" s="196"/>
    </row>
    <row r="657">
      <c r="Y657" s="196"/>
    </row>
    <row r="658">
      <c r="Y658" s="196"/>
    </row>
    <row r="659">
      <c r="Y659" s="196"/>
    </row>
    <row r="660">
      <c r="Y660" s="196"/>
    </row>
    <row r="661">
      <c r="Y661" s="196"/>
    </row>
    <row r="662">
      <c r="Y662" s="196"/>
    </row>
    <row r="663">
      <c r="Y663" s="196"/>
    </row>
    <row r="664">
      <c r="Y664" s="196"/>
    </row>
    <row r="665">
      <c r="Y665" s="196"/>
    </row>
    <row r="666">
      <c r="Y666" s="196"/>
    </row>
    <row r="667">
      <c r="Y667" s="196"/>
    </row>
    <row r="668">
      <c r="Y668" s="196"/>
    </row>
    <row r="669">
      <c r="Y669" s="196"/>
    </row>
    <row r="670">
      <c r="Y670" s="196"/>
    </row>
    <row r="671">
      <c r="Y671" s="196"/>
    </row>
    <row r="672">
      <c r="Y672" s="196"/>
    </row>
    <row r="673">
      <c r="Y673" s="196"/>
    </row>
    <row r="674">
      <c r="Y674" s="196"/>
    </row>
    <row r="675">
      <c r="Y675" s="196"/>
    </row>
    <row r="676">
      <c r="Y676" s="196"/>
    </row>
    <row r="677">
      <c r="Y677" s="196"/>
    </row>
    <row r="678">
      <c r="Y678" s="196"/>
    </row>
    <row r="679">
      <c r="Y679" s="196"/>
    </row>
    <row r="680">
      <c r="Y680" s="196"/>
    </row>
    <row r="681">
      <c r="Y681" s="196"/>
    </row>
    <row r="682">
      <c r="Y682" s="196"/>
    </row>
    <row r="683">
      <c r="Y683" s="196"/>
    </row>
    <row r="684">
      <c r="Y684" s="196"/>
    </row>
    <row r="685">
      <c r="Y685" s="196"/>
    </row>
    <row r="686">
      <c r="Y686" s="196"/>
    </row>
    <row r="687">
      <c r="Y687" s="196"/>
    </row>
    <row r="688">
      <c r="Y688" s="196"/>
    </row>
    <row r="689">
      <c r="Y689" s="196"/>
    </row>
    <row r="690">
      <c r="Y690" s="196"/>
    </row>
    <row r="691">
      <c r="Y691" s="196"/>
    </row>
    <row r="692">
      <c r="Y692" s="196"/>
    </row>
    <row r="693">
      <c r="Y693" s="196"/>
    </row>
    <row r="694">
      <c r="Y694" s="196"/>
    </row>
    <row r="695">
      <c r="Y695" s="196"/>
    </row>
    <row r="696">
      <c r="Y696" s="196"/>
    </row>
    <row r="697">
      <c r="Y697" s="196"/>
    </row>
    <row r="698">
      <c r="Y698" s="196"/>
    </row>
    <row r="699">
      <c r="Y699" s="196"/>
    </row>
    <row r="700">
      <c r="Y700" s="196"/>
    </row>
    <row r="701">
      <c r="Y701" s="196"/>
    </row>
    <row r="702">
      <c r="Y702" s="196"/>
    </row>
    <row r="703">
      <c r="Y703" s="196"/>
    </row>
    <row r="704">
      <c r="Y704" s="196"/>
    </row>
    <row r="705">
      <c r="Y705" s="196"/>
    </row>
    <row r="706">
      <c r="Y706" s="196"/>
    </row>
    <row r="707">
      <c r="Y707" s="196"/>
    </row>
    <row r="708">
      <c r="Y708" s="196"/>
    </row>
    <row r="709">
      <c r="Y709" s="196"/>
    </row>
    <row r="710">
      <c r="Y710" s="196"/>
    </row>
    <row r="711">
      <c r="Y711" s="196"/>
    </row>
    <row r="712">
      <c r="Y712" s="196"/>
    </row>
    <row r="713">
      <c r="Y713" s="196"/>
    </row>
    <row r="714">
      <c r="Y714" s="196"/>
    </row>
    <row r="715">
      <c r="Y715" s="196"/>
    </row>
    <row r="716">
      <c r="Y716" s="196"/>
    </row>
    <row r="717">
      <c r="Y717" s="196"/>
    </row>
    <row r="718">
      <c r="Y718" s="196"/>
    </row>
    <row r="719">
      <c r="Y719" s="196"/>
    </row>
    <row r="720">
      <c r="Y720" s="196"/>
    </row>
    <row r="721">
      <c r="Y721" s="196"/>
    </row>
    <row r="722">
      <c r="Y722" s="196"/>
    </row>
    <row r="723">
      <c r="Y723" s="196"/>
    </row>
    <row r="724">
      <c r="Y724" s="196"/>
    </row>
    <row r="725">
      <c r="Y725" s="196"/>
    </row>
    <row r="726">
      <c r="Y726" s="196"/>
    </row>
    <row r="727">
      <c r="Y727" s="196"/>
    </row>
    <row r="728">
      <c r="Y728" s="196"/>
    </row>
    <row r="729">
      <c r="Y729" s="196"/>
    </row>
    <row r="730">
      <c r="Y730" s="196"/>
    </row>
    <row r="731">
      <c r="Y731" s="196"/>
    </row>
    <row r="732">
      <c r="Y732" s="196"/>
    </row>
    <row r="733">
      <c r="Y733" s="196"/>
    </row>
    <row r="734">
      <c r="Y734" s="196"/>
    </row>
    <row r="735">
      <c r="Y735" s="196"/>
    </row>
    <row r="736">
      <c r="Y736" s="196"/>
    </row>
    <row r="737">
      <c r="Y737" s="196"/>
    </row>
    <row r="738">
      <c r="Y738" s="196"/>
    </row>
    <row r="739">
      <c r="Y739" s="196"/>
    </row>
    <row r="740">
      <c r="Y740" s="196"/>
    </row>
    <row r="741">
      <c r="Y741" s="196"/>
    </row>
    <row r="742">
      <c r="Y742" s="196"/>
    </row>
    <row r="743">
      <c r="Y743" s="196"/>
    </row>
    <row r="744">
      <c r="Y744" s="196"/>
    </row>
    <row r="745">
      <c r="Y745" s="196"/>
    </row>
    <row r="746">
      <c r="Y746" s="196"/>
    </row>
    <row r="747">
      <c r="Y747" s="196"/>
    </row>
    <row r="748">
      <c r="Y748" s="196"/>
    </row>
    <row r="749">
      <c r="Y749" s="196"/>
    </row>
    <row r="750">
      <c r="Y750" s="196"/>
    </row>
    <row r="751">
      <c r="Y751" s="196"/>
    </row>
    <row r="752">
      <c r="Y752" s="196"/>
    </row>
    <row r="753">
      <c r="Y753" s="196"/>
    </row>
    <row r="754">
      <c r="Y754" s="196"/>
    </row>
    <row r="755">
      <c r="Y755" s="196"/>
    </row>
    <row r="756">
      <c r="Y756" s="196"/>
    </row>
    <row r="757">
      <c r="Y757" s="196"/>
    </row>
    <row r="758">
      <c r="Y758" s="196"/>
    </row>
    <row r="759">
      <c r="Y759" s="196"/>
    </row>
    <row r="760">
      <c r="Y760" s="196"/>
    </row>
    <row r="761">
      <c r="Y761" s="196"/>
    </row>
    <row r="762">
      <c r="Y762" s="196"/>
    </row>
    <row r="763">
      <c r="Y763" s="196"/>
    </row>
    <row r="764">
      <c r="Y764" s="196"/>
    </row>
    <row r="765">
      <c r="Y765" s="196"/>
    </row>
    <row r="766">
      <c r="Y766" s="196"/>
    </row>
    <row r="767">
      <c r="Y767" s="196"/>
    </row>
    <row r="768">
      <c r="Y768" s="196"/>
    </row>
    <row r="769">
      <c r="Y769" s="196"/>
    </row>
    <row r="770">
      <c r="Y770" s="196"/>
    </row>
    <row r="771">
      <c r="Y771" s="196"/>
    </row>
    <row r="772">
      <c r="Y772" s="196"/>
    </row>
    <row r="773">
      <c r="Y773" s="196"/>
    </row>
    <row r="774">
      <c r="Y774" s="196"/>
    </row>
    <row r="775">
      <c r="Y775" s="196"/>
    </row>
    <row r="776">
      <c r="Y776" s="196"/>
    </row>
    <row r="777">
      <c r="Y777" s="196"/>
    </row>
    <row r="778">
      <c r="Y778" s="196"/>
    </row>
    <row r="779">
      <c r="Y779" s="196"/>
    </row>
    <row r="780">
      <c r="Y780" s="196"/>
    </row>
    <row r="781">
      <c r="Y781" s="196"/>
    </row>
    <row r="782">
      <c r="Y782" s="196"/>
    </row>
    <row r="783">
      <c r="Y783" s="196"/>
    </row>
    <row r="784">
      <c r="Y784" s="196"/>
    </row>
    <row r="785">
      <c r="Y785" s="196"/>
    </row>
    <row r="786">
      <c r="Y786" s="196"/>
    </row>
    <row r="787">
      <c r="Y787" s="196"/>
    </row>
    <row r="788">
      <c r="Y788" s="196"/>
    </row>
    <row r="789">
      <c r="Y789" s="196"/>
    </row>
    <row r="790">
      <c r="Y790" s="196"/>
    </row>
    <row r="791">
      <c r="Y791" s="196"/>
    </row>
    <row r="792">
      <c r="Y792" s="196"/>
    </row>
    <row r="793">
      <c r="Y793" s="196"/>
    </row>
    <row r="794">
      <c r="Y794" s="196"/>
    </row>
    <row r="795">
      <c r="Y795" s="196"/>
    </row>
    <row r="796">
      <c r="Y796" s="196"/>
    </row>
    <row r="797">
      <c r="Y797" s="196"/>
    </row>
    <row r="798">
      <c r="Y798" s="196"/>
    </row>
    <row r="799">
      <c r="Y799" s="196"/>
    </row>
    <row r="800">
      <c r="Y800" s="196"/>
    </row>
    <row r="801">
      <c r="Y801" s="196"/>
    </row>
    <row r="802">
      <c r="Y802" s="196"/>
    </row>
    <row r="803">
      <c r="Y803" s="196"/>
    </row>
    <row r="804">
      <c r="Y804" s="196"/>
    </row>
    <row r="805">
      <c r="Y805" s="196"/>
    </row>
    <row r="806">
      <c r="Y806" s="196"/>
    </row>
    <row r="807">
      <c r="Y807" s="196"/>
    </row>
    <row r="808">
      <c r="Y808" s="196"/>
    </row>
    <row r="809">
      <c r="Y809" s="196"/>
    </row>
    <row r="810">
      <c r="Y810" s="196"/>
    </row>
    <row r="811">
      <c r="Y811" s="196"/>
    </row>
    <row r="812">
      <c r="Y812" s="196"/>
    </row>
    <row r="813">
      <c r="Y813" s="196"/>
    </row>
    <row r="814">
      <c r="Y814" s="196"/>
    </row>
    <row r="815">
      <c r="Y815" s="196"/>
    </row>
    <row r="816">
      <c r="Y816" s="196"/>
    </row>
    <row r="817">
      <c r="Y817" s="196"/>
    </row>
    <row r="818">
      <c r="Y818" s="196"/>
    </row>
    <row r="819">
      <c r="Y819" s="196"/>
    </row>
    <row r="820">
      <c r="Y820" s="196"/>
    </row>
    <row r="821">
      <c r="Y821" s="196"/>
    </row>
    <row r="822">
      <c r="Y822" s="196"/>
    </row>
    <row r="823">
      <c r="Y823" s="196"/>
    </row>
    <row r="824">
      <c r="Y824" s="196"/>
    </row>
    <row r="825">
      <c r="Y825" s="196"/>
    </row>
    <row r="826">
      <c r="Y826" s="196"/>
    </row>
    <row r="827">
      <c r="Y827" s="196"/>
    </row>
    <row r="828">
      <c r="Y828" s="196"/>
    </row>
    <row r="829">
      <c r="Y829" s="196"/>
    </row>
    <row r="830">
      <c r="Y830" s="196"/>
    </row>
    <row r="831">
      <c r="Y831" s="196"/>
    </row>
    <row r="832">
      <c r="Y832" s="196"/>
    </row>
    <row r="833">
      <c r="Y833" s="196"/>
    </row>
    <row r="834">
      <c r="Y834" s="196"/>
    </row>
    <row r="835">
      <c r="Y835" s="196"/>
    </row>
    <row r="836">
      <c r="Y836" s="196"/>
    </row>
    <row r="837">
      <c r="Y837" s="196"/>
    </row>
    <row r="838">
      <c r="Y838" s="196"/>
    </row>
    <row r="839">
      <c r="Y839" s="196"/>
    </row>
    <row r="840">
      <c r="Y840" s="196"/>
    </row>
    <row r="841">
      <c r="Y841" s="196"/>
    </row>
    <row r="842">
      <c r="Y842" s="196"/>
    </row>
    <row r="843">
      <c r="Y843" s="196"/>
    </row>
    <row r="844">
      <c r="Y844" s="196"/>
    </row>
    <row r="845">
      <c r="Y845" s="196"/>
    </row>
    <row r="846">
      <c r="Y846" s="196"/>
    </row>
    <row r="847">
      <c r="Y847" s="196"/>
    </row>
    <row r="848">
      <c r="Y848" s="196"/>
    </row>
    <row r="849">
      <c r="Y849" s="196"/>
    </row>
    <row r="850">
      <c r="Y850" s="196"/>
    </row>
    <row r="851">
      <c r="Y851" s="196"/>
    </row>
    <row r="852">
      <c r="Y852" s="196"/>
    </row>
    <row r="853">
      <c r="Y853" s="196"/>
    </row>
    <row r="854">
      <c r="Y854" s="196"/>
    </row>
    <row r="855">
      <c r="Y855" s="196"/>
    </row>
    <row r="856">
      <c r="Y856" s="196"/>
    </row>
    <row r="857">
      <c r="Y857" s="196"/>
    </row>
    <row r="858">
      <c r="Y858" s="196"/>
    </row>
    <row r="859">
      <c r="Y859" s="196"/>
    </row>
    <row r="860">
      <c r="Y860" s="196"/>
    </row>
    <row r="861">
      <c r="Y861" s="196"/>
    </row>
    <row r="862">
      <c r="Y862" s="196"/>
    </row>
    <row r="863">
      <c r="Y863" s="196"/>
    </row>
    <row r="864">
      <c r="Y864" s="196"/>
    </row>
    <row r="865">
      <c r="Y865" s="196"/>
    </row>
    <row r="866">
      <c r="Y866" s="196"/>
    </row>
    <row r="867">
      <c r="Y867" s="196"/>
    </row>
    <row r="868">
      <c r="Y868" s="196"/>
    </row>
    <row r="869">
      <c r="Y869" s="196"/>
    </row>
    <row r="870">
      <c r="Y870" s="196"/>
    </row>
    <row r="871">
      <c r="Y871" s="196"/>
    </row>
    <row r="872">
      <c r="Y872" s="196"/>
    </row>
    <row r="873">
      <c r="Y873" s="196"/>
    </row>
    <row r="874">
      <c r="Y874" s="196"/>
    </row>
    <row r="875">
      <c r="Y875" s="196"/>
    </row>
    <row r="876">
      <c r="Y876" s="196"/>
    </row>
    <row r="877">
      <c r="Y877" s="196"/>
    </row>
    <row r="878">
      <c r="Y878" s="196"/>
    </row>
    <row r="879">
      <c r="Y879" s="196"/>
    </row>
    <row r="880">
      <c r="Y880" s="196"/>
    </row>
    <row r="881">
      <c r="Y881" s="196"/>
    </row>
    <row r="882">
      <c r="Y882" s="196"/>
    </row>
    <row r="883">
      <c r="Y883" s="196"/>
    </row>
    <row r="884">
      <c r="Y884" s="196"/>
    </row>
    <row r="885">
      <c r="Y885" s="196"/>
    </row>
    <row r="886">
      <c r="Y886" s="196"/>
    </row>
    <row r="887">
      <c r="Y887" s="196"/>
    </row>
    <row r="888">
      <c r="Y888" s="196"/>
    </row>
    <row r="889">
      <c r="Y889" s="196"/>
    </row>
    <row r="890">
      <c r="Y890" s="196"/>
    </row>
    <row r="891">
      <c r="Y891" s="196"/>
    </row>
    <row r="892">
      <c r="Y892" s="196"/>
    </row>
    <row r="893">
      <c r="Y893" s="196"/>
    </row>
    <row r="894">
      <c r="Y894" s="196"/>
    </row>
    <row r="895">
      <c r="Y895" s="196"/>
    </row>
    <row r="896">
      <c r="Y896" s="196"/>
    </row>
    <row r="897">
      <c r="Y897" s="196"/>
    </row>
    <row r="898">
      <c r="Y898" s="196"/>
    </row>
    <row r="899">
      <c r="Y899" s="196"/>
    </row>
    <row r="900">
      <c r="Y900" s="196"/>
    </row>
    <row r="901">
      <c r="Y901" s="196"/>
    </row>
    <row r="902">
      <c r="Y902" s="196"/>
    </row>
    <row r="903">
      <c r="Y903" s="196"/>
    </row>
    <row r="904">
      <c r="Y904" s="196"/>
    </row>
    <row r="905">
      <c r="Y905" s="196"/>
    </row>
    <row r="906">
      <c r="Y906" s="196"/>
    </row>
    <row r="907">
      <c r="Y907" s="196"/>
    </row>
    <row r="908">
      <c r="Y908" s="196"/>
    </row>
    <row r="909">
      <c r="Y909" s="196"/>
    </row>
    <row r="910">
      <c r="Y910" s="196"/>
    </row>
    <row r="911">
      <c r="Y911" s="196"/>
    </row>
    <row r="912">
      <c r="Y912" s="196"/>
    </row>
    <row r="913">
      <c r="Y913" s="196"/>
    </row>
    <row r="914">
      <c r="Y914" s="196"/>
    </row>
    <row r="915">
      <c r="Y915" s="196"/>
    </row>
    <row r="916">
      <c r="Y916" s="196"/>
    </row>
    <row r="917">
      <c r="Y917" s="196"/>
    </row>
    <row r="918">
      <c r="Y918" s="196"/>
    </row>
    <row r="919">
      <c r="Y919" s="196"/>
    </row>
    <row r="920">
      <c r="Y920" s="196"/>
    </row>
    <row r="921">
      <c r="Y921" s="196"/>
    </row>
    <row r="922">
      <c r="Y922" s="196"/>
    </row>
    <row r="923">
      <c r="Y923" s="196"/>
    </row>
    <row r="924">
      <c r="Y924" s="196"/>
    </row>
    <row r="925">
      <c r="Y925" s="196"/>
    </row>
    <row r="926">
      <c r="Y926" s="196"/>
    </row>
    <row r="927">
      <c r="Y927" s="196"/>
    </row>
    <row r="928">
      <c r="Y928" s="196"/>
    </row>
    <row r="929">
      <c r="Y929" s="196"/>
    </row>
    <row r="930">
      <c r="Y930" s="196"/>
    </row>
    <row r="931">
      <c r="Y931" s="196"/>
    </row>
    <row r="932">
      <c r="Y932" s="196"/>
    </row>
    <row r="933">
      <c r="Y933" s="196"/>
    </row>
    <row r="934">
      <c r="Y934" s="196"/>
    </row>
    <row r="935">
      <c r="Y935" s="196"/>
    </row>
    <row r="936">
      <c r="Y936" s="196"/>
    </row>
    <row r="937">
      <c r="Y937" s="196"/>
    </row>
    <row r="938">
      <c r="Y938" s="196"/>
    </row>
    <row r="939">
      <c r="Y939" s="196"/>
    </row>
    <row r="940">
      <c r="Y940" s="196"/>
    </row>
    <row r="941">
      <c r="Y941" s="196"/>
    </row>
    <row r="942">
      <c r="Y942" s="196"/>
    </row>
    <row r="943">
      <c r="Y943" s="196"/>
    </row>
    <row r="944">
      <c r="Y944" s="196"/>
    </row>
    <row r="945">
      <c r="Y945" s="196"/>
    </row>
    <row r="946">
      <c r="Y946" s="196"/>
    </row>
    <row r="947">
      <c r="Y947" s="196"/>
    </row>
    <row r="948">
      <c r="Y948" s="196"/>
    </row>
    <row r="949">
      <c r="Y949" s="196"/>
    </row>
    <row r="950">
      <c r="Y950" s="196"/>
    </row>
    <row r="951">
      <c r="Y951" s="196"/>
    </row>
    <row r="952">
      <c r="Y952" s="196"/>
    </row>
    <row r="953">
      <c r="Y953" s="196"/>
    </row>
    <row r="954">
      <c r="Y954" s="196"/>
    </row>
    <row r="955">
      <c r="Y955" s="196"/>
    </row>
    <row r="956">
      <c r="Y956" s="196"/>
    </row>
    <row r="957">
      <c r="Y957" s="196"/>
    </row>
    <row r="958">
      <c r="Y958" s="196"/>
    </row>
    <row r="959">
      <c r="Y959" s="196"/>
    </row>
    <row r="960">
      <c r="Y960" s="196"/>
    </row>
    <row r="961">
      <c r="Y961" s="196"/>
    </row>
    <row r="962">
      <c r="Y962" s="196"/>
    </row>
    <row r="963">
      <c r="Y963" s="196"/>
    </row>
    <row r="964">
      <c r="Y964" s="196"/>
    </row>
    <row r="965">
      <c r="Y965" s="196"/>
    </row>
    <row r="966">
      <c r="Y966" s="196"/>
    </row>
    <row r="967">
      <c r="Y967" s="196"/>
    </row>
    <row r="968">
      <c r="Y968" s="196"/>
    </row>
    <row r="969">
      <c r="Y969" s="196"/>
    </row>
    <row r="970">
      <c r="Y970" s="196"/>
    </row>
    <row r="971">
      <c r="Y971" s="196"/>
    </row>
    <row r="972">
      <c r="Y972" s="196"/>
    </row>
    <row r="973">
      <c r="Y973" s="196"/>
    </row>
    <row r="974">
      <c r="Y974" s="196"/>
    </row>
    <row r="975">
      <c r="Y975" s="196"/>
    </row>
    <row r="976">
      <c r="Y976" s="196"/>
    </row>
    <row r="977">
      <c r="Y977" s="196"/>
    </row>
    <row r="978">
      <c r="Y978" s="196"/>
    </row>
    <row r="979">
      <c r="Y979" s="196"/>
    </row>
    <row r="980">
      <c r="Y980" s="196"/>
    </row>
    <row r="981">
      <c r="Y981" s="196"/>
    </row>
    <row r="982">
      <c r="Y982" s="196"/>
    </row>
    <row r="983">
      <c r="Y983" s="196"/>
    </row>
    <row r="984">
      <c r="Y984" s="196"/>
    </row>
    <row r="985">
      <c r="Y985" s="196"/>
    </row>
    <row r="986">
      <c r="Y986" s="196"/>
    </row>
    <row r="987">
      <c r="Y987" s="196"/>
    </row>
    <row r="988">
      <c r="Y988" s="196"/>
    </row>
    <row r="989">
      <c r="Y989" s="196"/>
    </row>
    <row r="990">
      <c r="Y990" s="196"/>
    </row>
    <row r="991">
      <c r="Y991" s="196"/>
    </row>
    <row r="992">
      <c r="Y992" s="196"/>
    </row>
    <row r="993">
      <c r="Y993" s="196"/>
    </row>
    <row r="994">
      <c r="Y994" s="196"/>
    </row>
    <row r="995">
      <c r="Y995" s="196"/>
    </row>
    <row r="996">
      <c r="Y996" s="196"/>
    </row>
    <row r="997">
      <c r="Y997" s="196"/>
    </row>
    <row r="998">
      <c r="Y998" s="196"/>
    </row>
    <row r="999">
      <c r="Y999" s="196"/>
    </row>
    <row r="1000">
      <c r="Y1000" s="19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1" t="s">
        <v>407</v>
      </c>
      <c r="B1" s="232" t="s">
        <v>408</v>
      </c>
      <c r="C1" s="63"/>
      <c r="D1" s="233" t="s">
        <v>409</v>
      </c>
      <c r="E1" s="234" t="s">
        <v>410</v>
      </c>
    </row>
    <row r="2">
      <c r="A2" s="235" t="s">
        <v>411</v>
      </c>
      <c r="B2" s="236" t="s">
        <v>412</v>
      </c>
      <c r="C2" s="237" t="s">
        <v>413</v>
      </c>
      <c r="D2" s="236" t="s">
        <v>414</v>
      </c>
      <c r="E2" s="21"/>
      <c r="G2" s="238"/>
      <c r="H2" s="20"/>
      <c r="I2" s="239"/>
    </row>
    <row r="3">
      <c r="A3" s="240">
        <v>46115.0</v>
      </c>
      <c r="B3" s="236" t="s">
        <v>415</v>
      </c>
      <c r="C3" s="237" t="s">
        <v>416</v>
      </c>
      <c r="D3" s="236" t="s">
        <v>417</v>
      </c>
      <c r="E3" s="21"/>
      <c r="P3" s="241"/>
      <c r="Q3" s="23"/>
      <c r="R3" s="49"/>
      <c r="S3" s="49"/>
    </row>
    <row r="4">
      <c r="A4" s="242">
        <v>46178.0</v>
      </c>
      <c r="B4" s="236" t="s">
        <v>418</v>
      </c>
      <c r="C4" s="237" t="s">
        <v>419</v>
      </c>
      <c r="D4" s="236" t="s">
        <v>420</v>
      </c>
      <c r="E4" s="21"/>
      <c r="P4" s="241"/>
      <c r="Q4" s="23"/>
      <c r="R4" s="49"/>
      <c r="S4" s="49"/>
    </row>
    <row r="5">
      <c r="A5" s="243">
        <v>46241.0</v>
      </c>
      <c r="B5" s="236" t="s">
        <v>421</v>
      </c>
      <c r="C5" s="237" t="s">
        <v>422</v>
      </c>
      <c r="D5" s="236" t="s">
        <v>423</v>
      </c>
      <c r="E5" s="21"/>
      <c r="P5" s="241"/>
      <c r="Q5" s="23"/>
      <c r="R5" s="49"/>
      <c r="S5" s="49"/>
    </row>
    <row r="6">
      <c r="A6" s="244">
        <v>46335.0</v>
      </c>
      <c r="B6" s="245" t="s">
        <v>424</v>
      </c>
      <c r="C6" s="246" t="s">
        <v>425</v>
      </c>
      <c r="D6" s="245" t="s">
        <v>426</v>
      </c>
      <c r="E6" s="149"/>
      <c r="P6" s="241"/>
      <c r="Q6" s="23"/>
      <c r="R6" s="49"/>
      <c r="S6" s="49"/>
    </row>
    <row r="7">
      <c r="B7" s="4" t="s">
        <v>1</v>
      </c>
    </row>
    <row r="8">
      <c r="B8" s="12" t="s">
        <v>2</v>
      </c>
      <c r="C8" s="247" t="s">
        <v>3</v>
      </c>
      <c r="D8" s="10" t="s">
        <v>4</v>
      </c>
      <c r="E8" s="10" t="s">
        <v>5</v>
      </c>
      <c r="F8" s="10" t="s">
        <v>6</v>
      </c>
      <c r="G8" s="11" t="s">
        <v>7</v>
      </c>
      <c r="H8" s="248" t="s">
        <v>8</v>
      </c>
      <c r="I8" s="10" t="s">
        <v>9</v>
      </c>
      <c r="J8" s="10" t="s">
        <v>10</v>
      </c>
      <c r="K8" s="10" t="s">
        <v>11</v>
      </c>
      <c r="L8" s="11" t="s">
        <v>12</v>
      </c>
      <c r="M8" s="5" t="s">
        <v>13</v>
      </c>
      <c r="N8" s="249" t="s">
        <v>14</v>
      </c>
    </row>
    <row r="9">
      <c r="A9" s="14" t="s">
        <v>15</v>
      </c>
      <c r="B9" s="15">
        <f t="shared" ref="B9:B22" si="1">D25-$D$36</f>
        <v>0.1</v>
      </c>
      <c r="C9" s="16">
        <f t="shared" ref="C9:C22" si="2">(E25-$E$36)</f>
        <v>0.005719599846</v>
      </c>
      <c r="D9" s="16">
        <f t="shared" ref="D9:D22" si="3">(F25-$F$36)</f>
        <v>-0.008262824618</v>
      </c>
      <c r="E9" s="16">
        <f t="shared" ref="E9:E22" si="4">(G25-$G$36)</f>
        <v>-0.03532110518</v>
      </c>
      <c r="F9" s="16">
        <f t="shared" ref="F9:F22" si="5">(H25-$H$36)</f>
        <v>0.01673804196</v>
      </c>
      <c r="G9" s="16">
        <f t="shared" ref="G9:G22" si="6">(J25-$J$36)</f>
        <v>0.07896223133</v>
      </c>
      <c r="H9" s="250">
        <f t="shared" ref="H9:H19" si="7">(G9*0.15)+(F9*0.25)+(E9*0.3)+(D9*0.2)+(C9*0.1)</f>
        <v>0.004351908696</v>
      </c>
      <c r="I9" s="62">
        <f t="shared" ref="I9:I19" si="8">COUNTIF(B9:F9, "&gt;0")</f>
        <v>3</v>
      </c>
      <c r="J9" s="251">
        <f t="shared" ref="J9:J17" si="9">RANK(H9, $H$7:$H$17)</f>
        <v>6</v>
      </c>
      <c r="K9" s="16">
        <f>IFERROR(HLOOKUP("RS-Mom " &amp; A9, Motore!$AA$1:$AK$2, 2, FALSE), "Dato non trovato")</f>
        <v>0.02625131952</v>
      </c>
      <c r="L9" s="63" t="str">
        <f t="shared" ref="L9:L19" si="10">IF(H9&gt;0, IF(I9&gt;=4, "LEADER", "IN RECUPERO"), "DEBOLE")</f>
        <v>IN RECUPERO</v>
      </c>
      <c r="M9" s="143" t="str">
        <f t="shared" ref="M9:M19" si="11">IF(AND(K9&gt;0.02, L9="IN RECUPERO"), "🔭 ALERT BUY",
 IF(AND(J9&lt;=3, I9&gt;=4, K9&gt;0), "🔥 ACCUMULA", 
 IF(AND(J9&lt;=3, I9&gt;=4, K9&lt;=0), "📈 MANTIENI",
 IF(AND(J9&gt;3, I9&gt;=4), "👀 OSSERVA", "❌ EVITA"))))</f>
        <v>🔭 ALERT BUY</v>
      </c>
      <c r="N9" s="252" t="str">
        <f>IFERROR(__xludf.DUMMYFUNCTION("SPARKLINE(CHOOSE(MATCH(A9, Motore!$C$1:$M$1, 0), 
  Motore!AA4:AA23, Motore!AB4:AB23, Motore!AC4:AC23, 
  Motore!AD4:AD23, Motore!AE4:AE23, Motore!AF4:AF23, 
  Motore!AG4:AG23, Motore!AH4:AH23, Motore!AI4:AI23, 
  Motore!AJ4:AJ23, Motore!AK4:AK23), 
  {"""&amp;"charttype"",""line""; ""linewidth"",2; ""color"",IF(K9&gt;0.01, ""#008000"", IF(K9&lt;-0.01, ""#FF0000"", ""#FFFF00""))})"),"")</f>
        <v/>
      </c>
    </row>
    <row r="10">
      <c r="A10" s="14" t="s">
        <v>16</v>
      </c>
      <c r="B10" s="24">
        <f t="shared" si="1"/>
        <v>0.38</v>
      </c>
      <c r="C10" s="20">
        <f t="shared" si="2"/>
        <v>0.01646999085</v>
      </c>
      <c r="D10" s="20">
        <f t="shared" si="3"/>
        <v>0.01041334694</v>
      </c>
      <c r="E10" s="20">
        <f t="shared" si="4"/>
        <v>0.01566386602</v>
      </c>
      <c r="F10" s="20">
        <f t="shared" si="5"/>
        <v>0.006683203903</v>
      </c>
      <c r="G10" s="20">
        <f t="shared" si="6"/>
        <v>-0.06305535445</v>
      </c>
      <c r="H10" s="253">
        <f t="shared" si="7"/>
        <v>0.0006413260857</v>
      </c>
      <c r="I10" s="18">
        <f t="shared" si="8"/>
        <v>5</v>
      </c>
      <c r="J10" s="19">
        <f t="shared" si="9"/>
        <v>7</v>
      </c>
      <c r="K10" s="20">
        <f>IFERROR(HLOOKUP("RS-Mom " &amp; A10, Motore!$AA$1:$AK$2, 2, FALSE), "Dato non trovato")</f>
        <v>-0.01932465059</v>
      </c>
      <c r="L10" s="21" t="str">
        <f t="shared" si="10"/>
        <v>LEADER</v>
      </c>
      <c r="M10" s="143" t="str">
        <f t="shared" si="11"/>
        <v>👀 OSSERVA</v>
      </c>
      <c r="N10" s="252" t="str">
        <f>IFERROR(__xludf.DUMMYFUNCTION("SPARKLINE(CHOOSE(MATCH(A10, Motore!$C$1:$M$1, 0), 
  Motore!AA5:AA24, Motore!AB5:AB24, Motore!AC5:AC24, 
  Motore!AD5:AD24, Motore!AE5:AE24, Motore!AF5:AF24, 
  Motore!AG5:AG24, Motore!AH5:AH24, Motore!AI5:AI24, 
  Motore!AJ5:AJ24, Motore!AK5:AK24), 
  {"&amp;"""charttype"",""line""; ""linewidth"",2; ""color"",IF(K10&gt;0.01, ""#008000"", IF(K10&lt;-0.01, ""#FF0000"", ""#FFFF00""))})"),"")</f>
        <v/>
      </c>
    </row>
    <row r="11">
      <c r="A11" s="25" t="s">
        <v>17</v>
      </c>
      <c r="B11" s="24">
        <f t="shared" si="1"/>
        <v>-1.42</v>
      </c>
      <c r="C11" s="20">
        <f t="shared" si="2"/>
        <v>-0.01963715074</v>
      </c>
      <c r="D11" s="20">
        <f t="shared" si="3"/>
        <v>-0.0442823032</v>
      </c>
      <c r="E11" s="20">
        <f t="shared" si="4"/>
        <v>-0.01069808213</v>
      </c>
      <c r="F11" s="20">
        <f t="shared" si="5"/>
        <v>-0.0820956448</v>
      </c>
      <c r="G11" s="20">
        <f t="shared" si="6"/>
        <v>-0.09000009364</v>
      </c>
      <c r="H11" s="253">
        <f t="shared" si="7"/>
        <v>-0.0480535256</v>
      </c>
      <c r="I11" s="18">
        <f t="shared" si="8"/>
        <v>0</v>
      </c>
      <c r="J11" s="19">
        <f t="shared" si="9"/>
        <v>9</v>
      </c>
      <c r="K11" s="20">
        <f>IFERROR(HLOOKUP("RS-Mom " &amp; A11, Motore!$AA$1:$AK$2, 2, FALSE), "Dato non trovato")</f>
        <v>-0.02203963127</v>
      </c>
      <c r="L11" s="21" t="str">
        <f t="shared" si="10"/>
        <v>DEBOLE</v>
      </c>
      <c r="M11" s="143" t="str">
        <f t="shared" si="11"/>
        <v>❌ EVITA</v>
      </c>
      <c r="N11" s="252" t="str">
        <f>IFERROR(__xludf.DUMMYFUNCTION("SPARKLINE(CHOOSE(MATCH(A11, Motore!$C$1:$M$1, 0), 
  Motore!AA6:AA25, Motore!AB6:AB25, Motore!AC6:AC25, 
  Motore!AD6:AD25, Motore!AE6:AE25, Motore!AF6:AF25, 
  Motore!AG6:AG25, Motore!AH6:AH25, Motore!AI6:AI25, 
  Motore!AJ6:AJ25, Motore!AK6:AK25), 
  {"&amp;"""charttype"",""line""; ""linewidth"",2; ""color"",IF(K11&gt;0.01, ""#008000"", IF(K11&lt;-0.01, ""#FF0000"", ""#FFFF00""))})"),"")</f>
        <v/>
      </c>
    </row>
    <row r="12">
      <c r="A12" s="14" t="s">
        <v>18</v>
      </c>
      <c r="B12" s="24">
        <f t="shared" si="1"/>
        <v>0.57</v>
      </c>
      <c r="C12" s="20">
        <f t="shared" si="2"/>
        <v>0.01356348657</v>
      </c>
      <c r="D12" s="20">
        <f t="shared" si="3"/>
        <v>-0.006996984193</v>
      </c>
      <c r="E12" s="20">
        <f t="shared" si="4"/>
        <v>-0.007529844679</v>
      </c>
      <c r="F12" s="20">
        <f t="shared" si="5"/>
        <v>0.01057999047</v>
      </c>
      <c r="G12" s="20">
        <f t="shared" si="6"/>
        <v>0.03116630994</v>
      </c>
      <c r="H12" s="253">
        <f t="shared" si="7"/>
        <v>0.005017942525</v>
      </c>
      <c r="I12" s="18">
        <f t="shared" si="8"/>
        <v>3</v>
      </c>
      <c r="J12" s="19">
        <f t="shared" si="9"/>
        <v>5</v>
      </c>
      <c r="K12" s="20">
        <f>IFERROR(HLOOKUP("RS-Mom " &amp; A12, Motore!$AA$1:$AK$2, 2, FALSE), "Dato non trovato")</f>
        <v>-0.0291630248</v>
      </c>
      <c r="L12" s="21" t="str">
        <f t="shared" si="10"/>
        <v>IN RECUPERO</v>
      </c>
      <c r="M12" s="143" t="str">
        <f t="shared" si="11"/>
        <v>❌ EVITA</v>
      </c>
      <c r="N12" s="252" t="str">
        <f>IFERROR(__xludf.DUMMYFUNCTION("SPARKLINE(CHOOSE(MATCH(A12, Motore!$C$1:$M$1, 0), 
  Motore!AA7:AA26, Motore!AB7:AB26, Motore!AC7:AC26, 
  Motore!AD7:AD26, Motore!AE7:AE26, Motore!AF7:AF26, 
  Motore!AG7:AG26, Motore!AH7:AH26, Motore!AI7:AI26, 
  Motore!AJ7:AJ26, Motore!AK7:AK26), 
  {"&amp;"""charttype"",""line""; ""linewidth"",2; ""color"",IF(K12&gt;0.01, ""#008000"", IF(K12&lt;-0.01, ""#FF0000"", ""#FFFF00""))})"),"")</f>
        <v/>
      </c>
    </row>
    <row r="13">
      <c r="A13" s="14" t="s">
        <v>19</v>
      </c>
      <c r="B13" s="24">
        <f t="shared" si="1"/>
        <v>-0.55</v>
      </c>
      <c r="C13" s="20">
        <f t="shared" si="2"/>
        <v>-0.003808728337</v>
      </c>
      <c r="D13" s="20">
        <f t="shared" si="3"/>
        <v>0.01072824407</v>
      </c>
      <c r="E13" s="20">
        <f t="shared" si="4"/>
        <v>0.07008075472</v>
      </c>
      <c r="F13" s="20">
        <f t="shared" si="5"/>
        <v>0.08192239053</v>
      </c>
      <c r="G13" s="20">
        <f t="shared" si="6"/>
        <v>-0.04239604394</v>
      </c>
      <c r="H13" s="253">
        <f t="shared" si="7"/>
        <v>0.03691019344</v>
      </c>
      <c r="I13" s="18">
        <f t="shared" si="8"/>
        <v>3</v>
      </c>
      <c r="J13" s="19">
        <f t="shared" si="9"/>
        <v>3</v>
      </c>
      <c r="K13" s="20">
        <f>IFERROR(HLOOKUP("RS-Mom " &amp; A13, Motore!$AA$1:$AK$2, 2, FALSE), "Dato non trovato")</f>
        <v>-0.02736969202</v>
      </c>
      <c r="L13" s="21" t="str">
        <f t="shared" si="10"/>
        <v>IN RECUPERO</v>
      </c>
      <c r="M13" s="143" t="str">
        <f t="shared" si="11"/>
        <v>❌ EVITA</v>
      </c>
      <c r="N13" s="252" t="str">
        <f>IFERROR(__xludf.DUMMYFUNCTION("SPARKLINE(CHOOSE(MATCH(A13, Motore!$C$1:$M$1, 0), 
  Motore!AA8:AA27, Motore!AB8:AB27, Motore!AC8:AC27, 
  Motore!AD8:AD27, Motore!AE8:AE27, Motore!AF8:AF27, 
  Motore!AG8:AG27, Motore!AH8:AH27, Motore!AI8:AI27, 
  Motore!AJ8:AJ27, Motore!AK8:AK27), 
  {"&amp;"""charttype"",""line""; ""linewidth"",2; ""color"",IF(K13&gt;0.01, ""#008000"", IF(K13&lt;-0.01, ""#FF0000"", ""#FFFF00""))})"),"")</f>
        <v/>
      </c>
    </row>
    <row r="14">
      <c r="A14" s="25" t="s">
        <v>20</v>
      </c>
      <c r="B14" s="24">
        <f t="shared" si="1"/>
        <v>0.74</v>
      </c>
      <c r="C14" s="20">
        <f t="shared" si="2"/>
        <v>-0.01051554269</v>
      </c>
      <c r="D14" s="20">
        <f t="shared" si="3"/>
        <v>0.06138811158</v>
      </c>
      <c r="E14" s="20">
        <f t="shared" si="4"/>
        <v>0.04075636926</v>
      </c>
      <c r="F14" s="20">
        <f t="shared" si="5"/>
        <v>-0.05420077746</v>
      </c>
      <c r="G14" s="20">
        <f t="shared" si="6"/>
        <v>-0.06934468867</v>
      </c>
      <c r="H14" s="253">
        <f t="shared" si="7"/>
        <v>-0.000498918841</v>
      </c>
      <c r="I14" s="18">
        <f t="shared" si="8"/>
        <v>3</v>
      </c>
      <c r="J14" s="19">
        <f t="shared" si="9"/>
        <v>8</v>
      </c>
      <c r="K14" s="20">
        <f>IFERROR(HLOOKUP("RS-Mom " &amp; A14, Motore!$AA$1:$AK$2, 2, FALSE), "Dato non trovato")</f>
        <v>-0.02365165399</v>
      </c>
      <c r="L14" s="21" t="str">
        <f t="shared" si="10"/>
        <v>DEBOLE</v>
      </c>
      <c r="M14" s="143" t="str">
        <f t="shared" si="11"/>
        <v>❌ EVITA</v>
      </c>
      <c r="N14" s="252" t="str">
        <f>IFERROR(__xludf.DUMMYFUNCTION("SPARKLINE(CHOOSE(MATCH(A14, Motore!$C$1:$M$1, 0), 
  Motore!AA9:AA28, Motore!AB9:AB28, Motore!AC9:AC28, 
  Motore!AD9:AD28, Motore!AE9:AE28, Motore!AF9:AF28, 
  Motore!AG9:AG28, Motore!AH9:AH28, Motore!AI9:AI28, 
  Motore!AJ9:AJ28, Motore!AK9:AK28), 
  {"&amp;"""charttype"",""line""; ""linewidth"",2; ""color"",IF(K14&gt;0.01, ""#008000"", IF(K14&lt;-0.01, ""#FF0000"", ""#FFFF00""))})"),"")</f>
        <v/>
      </c>
    </row>
    <row r="15">
      <c r="A15" s="25" t="s">
        <v>21</v>
      </c>
      <c r="B15" s="24">
        <f t="shared" si="1"/>
        <v>-0.81</v>
      </c>
      <c r="C15" s="20">
        <f t="shared" si="2"/>
        <v>-0.01297413244</v>
      </c>
      <c r="D15" s="20">
        <f t="shared" si="3"/>
        <v>0.0461545533</v>
      </c>
      <c r="E15" s="20">
        <f t="shared" si="4"/>
        <v>0.04828852626</v>
      </c>
      <c r="F15" s="20">
        <f t="shared" si="5"/>
        <v>-0.01925181592</v>
      </c>
      <c r="G15" s="20">
        <f t="shared" si="6"/>
        <v>0.03044501687</v>
      </c>
      <c r="H15" s="253">
        <f t="shared" si="7"/>
        <v>0.02217385384</v>
      </c>
      <c r="I15" s="18">
        <f t="shared" si="8"/>
        <v>2</v>
      </c>
      <c r="J15" s="19">
        <f t="shared" si="9"/>
        <v>4</v>
      </c>
      <c r="K15" s="20">
        <f>IFERROR(HLOOKUP("RS-Mom " &amp; A15, Motore!$AA$1:$AK$2, 2, FALSE), "Dato non trovato")</f>
        <v>0.009345775037</v>
      </c>
      <c r="L15" s="21" t="str">
        <f t="shared" si="10"/>
        <v>IN RECUPERO</v>
      </c>
      <c r="M15" s="143" t="str">
        <f t="shared" si="11"/>
        <v>❌ EVITA</v>
      </c>
      <c r="N15" s="252" t="str">
        <f>IFERROR(__xludf.DUMMYFUNCTION("SPARKLINE(CHOOSE(MATCH(A15, Motore!$C$1:$M$1, 0), 
  Motore!AA10:AA29, Motore!AB10:AB29, Motore!AC10:AC29, 
  Motore!AD10:AD29, Motore!AE10:AE29, Motore!AF10:AF29, 
  Motore!AG10:AG29, Motore!AH10:AH29, Motore!AI10:AI29, 
  Motore!AJ10:AJ29, Motore!AK10:A"&amp;"K29), 
  {""charttype"",""line""; ""linewidth"",2; ""color"",IF(K15&gt;0.01, ""#008000"", IF(K15&lt;-0.01, ""#FF0000"", ""#FFFF00""))})"),"")</f>
        <v/>
      </c>
    </row>
    <row r="16">
      <c r="A16" s="25" t="s">
        <v>22</v>
      </c>
      <c r="B16" s="24">
        <f t="shared" si="1"/>
        <v>0.53</v>
      </c>
      <c r="C16" s="20">
        <f t="shared" si="2"/>
        <v>0.01620981962</v>
      </c>
      <c r="D16" s="20">
        <f t="shared" si="3"/>
        <v>0.1144604421</v>
      </c>
      <c r="E16" s="20">
        <f t="shared" si="4"/>
        <v>0.1085859222</v>
      </c>
      <c r="F16" s="20">
        <f t="shared" si="5"/>
        <v>0.03458993976</v>
      </c>
      <c r="G16" s="20">
        <f t="shared" si="6"/>
        <v>-0.05634735447</v>
      </c>
      <c r="H16" s="253">
        <f t="shared" si="7"/>
        <v>0.0572842288</v>
      </c>
      <c r="I16" s="18">
        <f t="shared" si="8"/>
        <v>5</v>
      </c>
      <c r="J16" s="19">
        <f t="shared" si="9"/>
        <v>1</v>
      </c>
      <c r="K16" s="20">
        <f>IFERROR(HLOOKUP("RS-Mom " &amp; A16, Motore!$AA$1:$AK$2, 2, FALSE), "Dato non trovato")</f>
        <v>0.0314495733</v>
      </c>
      <c r="L16" s="21" t="str">
        <f t="shared" si="10"/>
        <v>LEADER</v>
      </c>
      <c r="M16" s="143" t="str">
        <f t="shared" si="11"/>
        <v>🔥 ACCUMULA</v>
      </c>
      <c r="N16" s="252" t="str">
        <f>IFERROR(__xludf.DUMMYFUNCTION("SPARKLINE(CHOOSE(MATCH(A16, Motore!$C$1:$M$1, 0), 
  Motore!AA11:AA30, Motore!AB11:AB30, Motore!AC11:AC30, 
  Motore!AD11:AD30, Motore!AE11:AE30, Motore!AF11:AF30, 
  Motore!AG11:AG30, Motore!AH11:AH30, Motore!AI11:AI30, 
  Motore!AJ11:AJ30, Motore!AK11:A"&amp;"K30), 
  {""charttype"",""line""; ""linewidth"",2; ""color"",IF(K16&gt;0.01, ""#008000"", IF(K16&lt;-0.01, ""#FF0000"", ""#FFFF00""))})"),"")</f>
        <v/>
      </c>
    </row>
    <row r="17">
      <c r="A17" s="14" t="s">
        <v>23</v>
      </c>
      <c r="B17" s="24">
        <f t="shared" si="1"/>
        <v>0.87</v>
      </c>
      <c r="C17" s="20">
        <f t="shared" si="2"/>
        <v>0.01974358216</v>
      </c>
      <c r="D17" s="20">
        <f t="shared" si="3"/>
        <v>0.08527737504</v>
      </c>
      <c r="E17" s="20">
        <f t="shared" si="4"/>
        <v>0.1173509695</v>
      </c>
      <c r="F17" s="20">
        <f t="shared" si="5"/>
        <v>0.01566358191</v>
      </c>
      <c r="G17" s="20">
        <f t="shared" si="6"/>
        <v>-0.01073656244</v>
      </c>
      <c r="H17" s="253">
        <f t="shared" si="7"/>
        <v>0.05654053518</v>
      </c>
      <c r="I17" s="18">
        <f t="shared" si="8"/>
        <v>5</v>
      </c>
      <c r="J17" s="19">
        <f t="shared" si="9"/>
        <v>2</v>
      </c>
      <c r="K17" s="20">
        <f>IFERROR(HLOOKUP("RS-Mom " &amp; A17, Motore!$AA$1:$AK$2, 2, FALSE), "Dato non trovato")</f>
        <v>-0.007886161405</v>
      </c>
      <c r="L17" s="21" t="str">
        <f t="shared" si="10"/>
        <v>LEADER</v>
      </c>
      <c r="M17" s="143" t="str">
        <f t="shared" si="11"/>
        <v>📈 MANTIENI</v>
      </c>
      <c r="N17" s="252" t="str">
        <f>IFERROR(__xludf.DUMMYFUNCTION("SPARKLINE(CHOOSE(MATCH(A17, Motore!$C$1:$M$1, 0), 
  Motore!AA12:AA31, Motore!AB12:AB31, Motore!AC12:AC31, 
  Motore!AD12:AD31, Motore!AE12:AE31, Motore!AF12:AF31, 
  Motore!AG12:AG31, Motore!AH12:AH31, Motore!AI12:AI31, 
  Motore!AJ12:AJ31, Motore!AK12:A"&amp;"K31), 
  {""charttype"",""line""; ""linewidth"",2; ""color"",IF(K17&gt;0.01, ""#008000"", IF(K17&lt;-0.01, ""#FF0000"", ""#FFFF00""))})"),"")</f>
        <v/>
      </c>
    </row>
    <row r="18">
      <c r="A18" s="25" t="s">
        <v>24</v>
      </c>
      <c r="B18" s="24">
        <f t="shared" si="1"/>
        <v>-0.39</v>
      </c>
      <c r="C18" s="20">
        <f t="shared" si="2"/>
        <v>-0.02650452869</v>
      </c>
      <c r="D18" s="20">
        <f t="shared" si="3"/>
        <v>-0.003578075502</v>
      </c>
      <c r="E18" s="20">
        <f t="shared" si="4"/>
        <v>-0.07697074774</v>
      </c>
      <c r="F18" s="20">
        <f t="shared" si="5"/>
        <v>-0.06415735253</v>
      </c>
      <c r="G18" s="20">
        <f t="shared" si="6"/>
        <v>-0.06269666264</v>
      </c>
      <c r="H18" s="253">
        <f t="shared" si="7"/>
        <v>-0.05190112982</v>
      </c>
      <c r="I18" s="18">
        <f t="shared" si="8"/>
        <v>0</v>
      </c>
      <c r="J18" s="19">
        <f t="shared" ref="J18:J19" si="12">RANK(H18, $H$7:$H$19)</f>
        <v>10</v>
      </c>
      <c r="K18" s="20">
        <f>IFERROR(HLOOKUP("RS-Mom " &amp; A18, Motore!$AA$1:$AK$2, 2, FALSE), "Dato non trovato")</f>
        <v>0.01022097678</v>
      </c>
      <c r="L18" s="21" t="str">
        <f t="shared" si="10"/>
        <v>DEBOLE</v>
      </c>
      <c r="M18" s="143" t="str">
        <f t="shared" si="11"/>
        <v>❌ EVITA</v>
      </c>
      <c r="N18" s="252" t="str">
        <f>IFERROR(__xludf.DUMMYFUNCTION("SPARKLINE(CHOOSE(MATCH(A18, Motore!$C$1:$M$1, 0), 
  Motore!AA13:AA32, Motore!AB13:AB32, Motore!AC13:AC32, 
  Motore!AD13:AD32, Motore!AE13:AE32, Motore!AF13:AF32, 
  Motore!AG13:AG32, Motore!AH13:AH32, Motore!AI13:AI32, 
  Motore!AJ13:AJ32, Motore!AK13:A"&amp;"K32), 
  {""charttype"",""line""; ""linewidth"",2; ""color"",IF(K18&gt;0.01, ""#008000"", IF(K18&lt;-0.01, ""#FF0000"", ""#FFFF00""))})"),"")</f>
        <v/>
      </c>
    </row>
    <row r="19">
      <c r="A19" s="14" t="s">
        <v>25</v>
      </c>
      <c r="B19" s="254">
        <f t="shared" si="1"/>
        <v>0.23</v>
      </c>
      <c r="C19" s="255">
        <f t="shared" si="2"/>
        <v>-0.02081673013</v>
      </c>
      <c r="D19" s="255">
        <f t="shared" si="3"/>
        <v>0.01958030916</v>
      </c>
      <c r="E19" s="255">
        <f t="shared" si="4"/>
        <v>-0.04068473343</v>
      </c>
      <c r="F19" s="255">
        <f t="shared" si="5"/>
        <v>-0.1011206151</v>
      </c>
      <c r="G19" s="255">
        <f t="shared" si="6"/>
        <v>-0.1408781274</v>
      </c>
      <c r="H19" s="256">
        <f t="shared" si="7"/>
        <v>-0.05678290408</v>
      </c>
      <c r="I19" s="18">
        <f t="shared" si="8"/>
        <v>2</v>
      </c>
      <c r="J19" s="19">
        <f t="shared" si="12"/>
        <v>11</v>
      </c>
      <c r="K19" s="20">
        <f>IFERROR(HLOOKUP("RS-Mom " &amp; A19, Motore!$AA$1:$AK$2, 2, FALSE), "Dato non trovato")</f>
        <v>-0.00700879903</v>
      </c>
      <c r="L19" s="21" t="str">
        <f t="shared" si="10"/>
        <v>DEBOLE</v>
      </c>
      <c r="M19" s="143" t="str">
        <f t="shared" si="11"/>
        <v>❌ EVITA</v>
      </c>
      <c r="N19" s="252" t="str">
        <f>IFERROR(__xludf.DUMMYFUNCTION("SPARKLINE(CHOOSE(MATCH(A19, Motore!$C$1:$M$1, 0), 
  Motore!AA14:AA33, Motore!AB14:AB33, Motore!AC14:AC33, 
  Motore!AD14:AD33, Motore!AE14:AE33, Motore!AF14:AF33, 
  Motore!AG14:AG33, Motore!AH14:AH33, Motore!AI14:AI33, 
  Motore!AJ14:AJ33, Motore!AK14:A"&amp;"K33), 
  {""charttype"",""line""; ""linewidth"",2; ""color"",IF(K19&gt;0.01, ""#008000"", IF(K19&lt;-0.01, ""#FF0000"", ""#FFFF00""))})"),"")</f>
        <v/>
      </c>
    </row>
    <row r="20">
      <c r="A20" s="26" t="s">
        <v>26</v>
      </c>
      <c r="B20" s="257">
        <f t="shared" si="1"/>
        <v>0</v>
      </c>
      <c r="C20" s="258">
        <f t="shared" si="2"/>
        <v>0</v>
      </c>
      <c r="D20" s="258">
        <f t="shared" si="3"/>
        <v>0</v>
      </c>
      <c r="E20" s="258">
        <f t="shared" si="4"/>
        <v>0</v>
      </c>
      <c r="F20" s="258">
        <f t="shared" si="5"/>
        <v>0</v>
      </c>
      <c r="G20" s="258">
        <f t="shared" si="6"/>
        <v>0</v>
      </c>
      <c r="H20" s="28"/>
      <c r="I20" s="259"/>
      <c r="J20" s="260"/>
      <c r="K20" s="260"/>
      <c r="L20" s="260"/>
      <c r="M20" s="260"/>
      <c r="N20" s="261"/>
    </row>
    <row r="21">
      <c r="A21" s="159" t="s">
        <v>427</v>
      </c>
      <c r="B21" s="262">
        <f t="shared" si="1"/>
        <v>0.28</v>
      </c>
      <c r="C21" s="263">
        <f t="shared" si="2"/>
        <v>0.00691592116</v>
      </c>
      <c r="D21" s="263">
        <f t="shared" si="3"/>
        <v>-0.0003108160936</v>
      </c>
      <c r="E21" s="263">
        <f t="shared" si="4"/>
        <v>-0.01437250756</v>
      </c>
      <c r="F21" s="263">
        <f t="shared" si="5"/>
        <v>0.01397222579</v>
      </c>
      <c r="G21" s="263">
        <f t="shared" si="6"/>
        <v>0.042106302</v>
      </c>
      <c r="H21" s="264">
        <f t="shared" ref="H21:H22" si="13">(G21*0.15)+(F21*0.25)+(E21*0.3)+(D21*0.2)+(C21*0.1)</f>
        <v>0.006126678379</v>
      </c>
      <c r="I21" s="143"/>
      <c r="K21" s="152"/>
      <c r="N21" s="21"/>
    </row>
    <row r="22">
      <c r="A22" s="159" t="s">
        <v>428</v>
      </c>
      <c r="B22" s="262">
        <f t="shared" si="1"/>
        <v>-1.86</v>
      </c>
      <c r="C22" s="263">
        <f t="shared" si="2"/>
        <v>-0.00819665661</v>
      </c>
      <c r="D22" s="263">
        <f t="shared" si="3"/>
        <v>0.05475764094</v>
      </c>
      <c r="E22" s="263">
        <f t="shared" si="4"/>
        <v>0.05318279303</v>
      </c>
      <c r="F22" s="263">
        <f t="shared" si="5"/>
        <v>0.1006599352</v>
      </c>
      <c r="G22" s="263">
        <f t="shared" si="6"/>
        <v>0.02295418593</v>
      </c>
      <c r="H22" s="264">
        <f t="shared" si="13"/>
        <v>0.05469481212</v>
      </c>
      <c r="I22" s="265"/>
      <c r="J22" s="266"/>
      <c r="K22" s="266"/>
      <c r="L22" s="266"/>
      <c r="M22" s="266"/>
      <c r="N22" s="267"/>
    </row>
    <row r="23">
      <c r="A23" s="268"/>
    </row>
    <row r="24">
      <c r="A24" s="45"/>
      <c r="B24" s="269" t="s">
        <v>28</v>
      </c>
      <c r="C24" s="269" t="s">
        <v>29</v>
      </c>
      <c r="D24" s="269" t="s">
        <v>30</v>
      </c>
      <c r="E24" s="269" t="s">
        <v>31</v>
      </c>
      <c r="F24" s="269" t="s">
        <v>32</v>
      </c>
      <c r="G24" s="269" t="s">
        <v>33</v>
      </c>
      <c r="H24" s="270" t="s">
        <v>34</v>
      </c>
      <c r="I24" s="271" t="s">
        <v>35</v>
      </c>
      <c r="J24" s="269" t="s">
        <v>36</v>
      </c>
      <c r="K24" s="36"/>
      <c r="L24" s="36"/>
      <c r="M24" s="36"/>
    </row>
    <row r="25">
      <c r="A25" s="14" t="s">
        <v>15</v>
      </c>
      <c r="B25" s="36" t="str">
        <f>IFERROR(__xludf.DUMMYFUNCTION("GOOGLEFINANCE(A25,""name"")"),"State Street Technology Select Sector SPDR ETF")</f>
        <v>State Street Technology Select Sector SPDR ETF</v>
      </c>
      <c r="C25" s="45">
        <f>IFERROR(__xludf.DUMMYFUNCTION("GOOGLEFINANCE(A25,""price"")"),145.09)</f>
        <v>145.09</v>
      </c>
      <c r="D25" s="46">
        <f>IFERROR(__xludf.DUMMYFUNCTION("GOOGLEFINANCE(A25,""changepct"")"),0.14)</f>
        <v>0.14</v>
      </c>
      <c r="E25" s="47">
        <f>IFERROR(__xludf.DUMMYFUNCTION(" ((GOOGLEFINANCE(A25,""price"") - INDEX(GOOGLEFINANCE(A25,""price"",TODAY()-7),2,2)) / INDEX(GOOGLEFINANCE(A25,""price"",TODAY()-7),2,2))
"),0.022913141567963903)</f>
        <v>0.02291314157</v>
      </c>
      <c r="F25" s="47">
        <f>IFERROR(__xludf.DUMMYFUNCTION(" ((GOOGLEFINANCE(A25,""price"") - INDEX(GOOGLEFINANCE(A25,""price"",TODAY()-30),2,2)) / INDEX(GOOGLEFINANCE(A25,""price"",TODAY()-30),2,2))
"),-0.00982733911144474)</f>
        <v>-0.009827339111</v>
      </c>
      <c r="G25" s="48">
        <f>IFERROR(__xludf.DUMMYFUNCTION(" ((GOOGLEFINANCE(A25,""price"") - INDEX(GOOGLEFINANCE(A25,""price"",TODAY()-90),2,2)) / INDEX(GOOGLEFINANCE(A25,""price"",TODAY()-90),2,2))"),-0.0294983277591973)</f>
        <v>-0.02949832776</v>
      </c>
      <c r="H25" s="48">
        <f>IFERROR(__xludf.DUMMYFUNCTION(" ((GOOGLEFINANCE(A25,""price"") - INDEX(GOOGLEFINANCE(A25,""price"",TODAY()-182),2,2)) / INDEX(GOOGLEFINANCE(A25,""price"",TODAY()-182),2,2))"),0.09883368676158749)</f>
        <v>0.09883368676</v>
      </c>
      <c r="I25" s="20">
        <f>IFERROR(__xludf.DUMMYFUNCTION("(GOOGLEFINANCE(A25,""price"")-INDEX(GOOGLEFINANCE(A25,""price"",""01-01-""&amp;YEAR(TODAY())),2,2))/INDEX(GOOGLEFINANCE(A25,""price"",""01-01-""&amp;YEAR(TODAY())),2,2)"),0.005474705474705419)</f>
        <v>0.005474705475</v>
      </c>
      <c r="J25" s="47">
        <f>IFERROR(__xludf.DUMMYFUNCTION(" ((GOOGLEFINANCE(A25,""price"") - INDEX(GOOGLEFINANCE(A25,""price"",TODAY()-365),2,2)) / INDEX(GOOGLEFINANCE(A25,""price"",TODAY()-365),2,2))
"),0.21262014208106975)</f>
        <v>0.2126201421</v>
      </c>
      <c r="K25" s="48"/>
      <c r="L25" s="48"/>
      <c r="M25" s="49"/>
      <c r="N25" s="49"/>
      <c r="O25" s="49"/>
      <c r="P25" s="20"/>
    </row>
    <row r="26">
      <c r="A26" s="14" t="s">
        <v>16</v>
      </c>
      <c r="B26" s="36" t="str">
        <f>IFERROR(__xludf.DUMMYFUNCTION("GOOGLEFINANCE(A26,""name"")"),"State Street Cons Disc Sel Sect SPDR Income ETF")</f>
        <v>State Street Cons Disc Sel Sect SPDR Income ETF</v>
      </c>
      <c r="C26" s="45">
        <f>IFERROR(__xludf.DUMMYFUNCTION("GOOGLEFINANCE(A26,""price"")"),123.13)</f>
        <v>123.13</v>
      </c>
      <c r="D26" s="46">
        <f>IFERROR(__xludf.DUMMYFUNCTION("GOOGLEFINANCE(A26,""changepct"")"),0.42)</f>
        <v>0.42</v>
      </c>
      <c r="E26" s="47">
        <f>IFERROR(__xludf.DUMMYFUNCTION(" ((GOOGLEFINANCE(A26,""price"") - INDEX(GOOGLEFINANCE(A26,""price"",TODAY()-7),2,2)) / INDEX(GOOGLEFINANCE(A26,""price"",TODAY()-7),2,2))
"),0.03366353257219603)</f>
        <v>0.03366353257</v>
      </c>
      <c r="F26" s="47">
        <f>IFERROR(__xludf.DUMMYFUNCTION(" ((GOOGLEFINANCE(A26,""price"") - INDEX(GOOGLEFINANCE(A26,""price"",TODAY()-30),2,2)) / INDEX(GOOGLEFINANCE(A26,""price"",TODAY()-30),2,2))
"),0.008848832445718954)</f>
        <v>0.008848832446</v>
      </c>
      <c r="G26" s="48">
        <f>IFERROR(__xludf.DUMMYFUNCTION(" ((GOOGLEFINANCE(A26,""price"") - INDEX(GOOGLEFINANCE(A26,""price"",TODAY()-90),2,2)) / INDEX(GOOGLEFINANCE(A26,""price"",TODAY()-90),2,2))"),0.02148664343786286)</f>
        <v>0.02148664344</v>
      </c>
      <c r="H26" s="48">
        <f>IFERROR(__xludf.DUMMYFUNCTION(" ((GOOGLEFINANCE(A26,""price"") - INDEX(GOOGLEFINANCE(A26,""price"",TODAY()-182),2,2)) / INDEX(GOOGLEFINANCE(A26,""price"",TODAY()-182),2,2))"),0.0887788487045715)</f>
        <v>0.0887788487</v>
      </c>
      <c r="I26" s="20">
        <f>IFERROR(__xludf.DUMMYFUNCTION("(GOOGLEFINANCE(A26,""price"")-INDEX(GOOGLEFINANCE(A26,""price"",""01-01-""&amp;YEAR(TODAY())),2,2))/INDEX(GOOGLEFINANCE(A26,""price"",""01-01-""&amp;YEAR(TODAY())),2,2)"),0.04038867765103508)</f>
        <v>0.04038867765</v>
      </c>
      <c r="J26" s="47">
        <f>IFERROR(__xludf.DUMMYFUNCTION(" ((GOOGLEFINANCE(A26,""price"") - INDEX(GOOGLEFINANCE(A26,""price"",TODAY()-365),2,2)) / INDEX(GOOGLEFINANCE(A26,""price"",TODAY()-365),2,2))
"),0.07060255629945214)</f>
        <v>0.0706025563</v>
      </c>
      <c r="K26" s="48"/>
      <c r="L26" s="48"/>
      <c r="M26" s="49"/>
      <c r="N26" s="49"/>
      <c r="O26" s="49"/>
      <c r="P26" s="20"/>
    </row>
    <row r="27">
      <c r="A27" s="25" t="s">
        <v>17</v>
      </c>
      <c r="B27" s="36" t="str">
        <f>IFERROR(__xludf.DUMMYFUNCTION("GOOGLEFINANCE(A27,""name"")"),"State Street Financial Sel Sec SPDR ETF")</f>
        <v>State Street Financial Sel Sec SPDR ETF</v>
      </c>
      <c r="C27" s="45">
        <f>IFERROR(__xludf.DUMMYFUNCTION("GOOGLEFINANCE(A27,""price"")"),53.07)</f>
        <v>53.07</v>
      </c>
      <c r="D27" s="46">
        <f>IFERROR(__xludf.DUMMYFUNCTION("GOOGLEFINANCE(A27,""changepct"")"),-1.38)</f>
        <v>-1.38</v>
      </c>
      <c r="E27" s="47">
        <f>IFERROR(__xludf.DUMMYFUNCTION(" ((GOOGLEFINANCE(A27,""price"") - INDEX(GOOGLEFINANCE(A27,""price"",TODAY()-7),2,2)) / INDEX(GOOGLEFINANCE(A27,""price"",TODAY()-7),2,2))
"),-0.0024436090225564387)</f>
        <v>-0.002443609023</v>
      </c>
      <c r="F27" s="47">
        <f>IFERROR(__xludf.DUMMYFUNCTION(" ((GOOGLEFINANCE(A27,""price"") - INDEX(GOOGLEFINANCE(A27,""price"",TODAY()-30),2,2)) / INDEX(GOOGLEFINANCE(A27,""price"",TODAY()-30),2,2))
"),-0.04584681769147784)</f>
        <v>-0.04584681769</v>
      </c>
      <c r="G27" s="48">
        <f>IFERROR(__xludf.DUMMYFUNCTION(" ((GOOGLEFINANCE(A27,""price"") - INDEX(GOOGLEFINANCE(A27,""price"",TODAY()-90),2,2)) / INDEX(GOOGLEFINANCE(A27,""price"",TODAY()-90),2,2))"),-0.004875304706544122)</f>
        <v>-0.004875304707</v>
      </c>
      <c r="H27" s="48">
        <f>IFERROR(__xludf.DUMMYFUNCTION(" ((GOOGLEFINANCE(A27,""price"") - INDEX(GOOGLEFINANCE(A27,""price"",TODAY()-182),2,2)) / INDEX(GOOGLEFINANCE(A27,""price"",TODAY()-182),2,2))"),0.0)</f>
        <v>0</v>
      </c>
      <c r="I27" s="20">
        <f>IFERROR(__xludf.DUMMYFUNCTION("(GOOGLEFINANCE(A27,""price"")-INDEX(GOOGLEFINANCE(A27,""price"",""01-01-""&amp;YEAR(TODAY())),2,2))/INDEX(GOOGLEFINANCE(A27,""price"",""01-01-""&amp;YEAR(TODAY())),2,2)"),-0.033861277990169296)</f>
        <v>-0.03386127799</v>
      </c>
      <c r="J27" s="47">
        <f>IFERROR(__xludf.DUMMYFUNCTION(" ((GOOGLEFINANCE(A27,""price"") - INDEX(GOOGLEFINANCE(A27,""price"",TODAY()-365),2,2)) / INDEX(GOOGLEFINANCE(A27,""price"",TODAY()-365),2,2))
"),0.04365781710914452)</f>
        <v>0.04365781711</v>
      </c>
      <c r="K27" s="48"/>
      <c r="L27" s="48"/>
      <c r="M27" s="49"/>
      <c r="N27" s="49"/>
      <c r="O27" s="49"/>
      <c r="P27" s="20"/>
    </row>
    <row r="28">
      <c r="A28" s="14" t="s">
        <v>18</v>
      </c>
      <c r="B28" s="36" t="str">
        <f>IFERROR(__xludf.DUMMYFUNCTION("GOOGLEFINANCE(A28,""name"")"),"State Street Com Svc Sel Sec SPDR ETF")</f>
        <v>State Street Com Svc Sel Sec SPDR ETF</v>
      </c>
      <c r="C28" s="45">
        <f>IFERROR(__xludf.DUMMYFUNCTION("GOOGLEFINANCE(A28,""price"")"),116.96)</f>
        <v>116.96</v>
      </c>
      <c r="D28" s="46">
        <f>IFERROR(__xludf.DUMMYFUNCTION("GOOGLEFINANCE(A28,""changepct"")"),0.61)</f>
        <v>0.61</v>
      </c>
      <c r="E28" s="47">
        <f>IFERROR(__xludf.DUMMYFUNCTION(" ((GOOGLEFINANCE(A28,""price"") - INDEX(GOOGLEFINANCE(A28,""price"",TODAY()-7),2,2)) / INDEX(GOOGLEFINANCE(A28,""price"",TODAY()-7),2,2))
"),0.03075702828941566)</f>
        <v>0.03075702829</v>
      </c>
      <c r="F28" s="47">
        <f>IFERROR(__xludf.DUMMYFUNCTION(" ((GOOGLEFINANCE(A28,""price"") - INDEX(GOOGLEFINANCE(A28,""price"",TODAY()-30),2,2)) / INDEX(GOOGLEFINANCE(A28,""price"",TODAY()-30),2,2))
"),-0.008561498686106681)</f>
        <v>-0.008561498686</v>
      </c>
      <c r="G28" s="48">
        <f>IFERROR(__xludf.DUMMYFUNCTION(" ((GOOGLEFINANCE(A28,""price"") - INDEX(GOOGLEFINANCE(A28,""price"",TODAY()-90),2,2)) / INDEX(GOOGLEFINANCE(A28,""price"",TODAY()-90),2,2))"),-0.0017070672584500073)</f>
        <v>-0.001707067258</v>
      </c>
      <c r="H28" s="48">
        <f>IFERROR(__xludf.DUMMYFUNCTION(" ((GOOGLEFINANCE(A28,""price"") - INDEX(GOOGLEFINANCE(A28,""price"",TODAY()-182),2,2)) / INDEX(GOOGLEFINANCE(A28,""price"",TODAY()-182),2,2))"),0.09267563527653201)</f>
        <v>0.09267563528</v>
      </c>
      <c r="I28" s="20">
        <f>IFERROR(__xludf.DUMMYFUNCTION("(GOOGLEFINANCE(A28,""price"")-INDEX(GOOGLEFINANCE(A28,""price"",""01-01-""&amp;YEAR(TODAY())),2,2))/INDEX(GOOGLEFINANCE(A28,""price"",""01-01-""&amp;YEAR(TODAY())),2,2)"),5.132591958938243E-4)</f>
        <v>0.0005132591959</v>
      </c>
      <c r="J28" s="47">
        <f>IFERROR(__xludf.DUMMYFUNCTION(" ((GOOGLEFINANCE(A28,""price"") - INDEX(GOOGLEFINANCE(A28,""price"",TODAY()-365),2,2)) / INDEX(GOOGLEFINANCE(A28,""price"",TODAY()-365),2,2))
"),0.16482422069514988)</f>
        <v>0.1648242207</v>
      </c>
      <c r="K28" s="48"/>
      <c r="L28" s="48"/>
      <c r="M28" s="49"/>
      <c r="N28" s="49"/>
      <c r="O28" s="49"/>
      <c r="P28" s="20"/>
    </row>
    <row r="29">
      <c r="A29" s="14" t="s">
        <v>19</v>
      </c>
      <c r="B29" s="36" t="str">
        <f>IFERROR(__xludf.DUMMYFUNCTION("GOOGLEFINANCE(A29,""name"")"),"State Street Health Care Select Sector SPDR ETF")</f>
        <v>State Street Health Care Select Sector SPDR ETF</v>
      </c>
      <c r="C29" s="45">
        <f>IFERROR(__xludf.DUMMYFUNCTION("GOOGLEFINANCE(A29,""price"")"),157.48)</f>
        <v>157.48</v>
      </c>
      <c r="D29" s="46">
        <f>IFERROR(__xludf.DUMMYFUNCTION("GOOGLEFINANCE(A29,""changepct"")"),-0.51)</f>
        <v>-0.51</v>
      </c>
      <c r="E29" s="47">
        <f>IFERROR(__xludf.DUMMYFUNCTION(" ((GOOGLEFINANCE(A29,""price"") - INDEX(GOOGLEFINANCE(A29,""price"",TODAY()-7),2,2)) / INDEX(GOOGLEFINANCE(A29,""price"",TODAY()-7),2,2))
"),0.013384813384813283)</f>
        <v>0.01338481338</v>
      </c>
      <c r="F29" s="47">
        <f>IFERROR(__xludf.DUMMYFUNCTION(" ((GOOGLEFINANCE(A29,""price"") - INDEX(GOOGLEFINANCE(A29,""price"",TODAY()-30),2,2)) / INDEX(GOOGLEFINANCE(A29,""price"",TODAY()-30),2,2))
"),0.009163729573854395)</f>
        <v>0.009163729574</v>
      </c>
      <c r="G29" s="48">
        <f>IFERROR(__xludf.DUMMYFUNCTION(" ((GOOGLEFINANCE(A29,""price"") - INDEX(GOOGLEFINANCE(A29,""price"",TODAY()-90),2,2)) / INDEX(GOOGLEFINANCE(A29,""price"",TODAY()-90),2,2))"),0.07590353214456504)</f>
        <v>0.07590353214</v>
      </c>
      <c r="H29" s="48">
        <f>IFERROR(__xludf.DUMMYFUNCTION(" ((GOOGLEFINANCE(A29,""price"") - INDEX(GOOGLEFINANCE(A29,""price"",TODAY()-182),2,2)) / INDEX(GOOGLEFINANCE(A29,""price"",TODAY()-182),2,2))"),0.16401803533151008)</f>
        <v>0.1640180353</v>
      </c>
      <c r="I29" s="20">
        <f>IFERROR(__xludf.DUMMYFUNCTION("(GOOGLEFINANCE(A29,""price"")-INDEX(GOOGLEFINANCE(A29,""price"",""01-01-""&amp;YEAR(TODAY())),2,2))/INDEX(GOOGLEFINANCE(A29,""price"",""01-01-""&amp;YEAR(TODAY())),2,2)"),0.012667995627290842)</f>
        <v>0.01266799563</v>
      </c>
      <c r="J29" s="47">
        <f>IFERROR(__xludf.DUMMYFUNCTION(" ((GOOGLEFINANCE(A29,""price"") - INDEX(GOOGLEFINANCE(A29,""price"",TODAY()-365),2,2)) / INDEX(GOOGLEFINANCE(A29,""price"",TODAY()-365),2,2))
"),0.09126186681449648)</f>
        <v>0.09126186681</v>
      </c>
      <c r="K29" s="48"/>
      <c r="L29" s="48"/>
      <c r="M29" s="49"/>
      <c r="N29" s="49"/>
      <c r="O29" s="49"/>
      <c r="P29" s="20"/>
    </row>
    <row r="30">
      <c r="A30" s="25" t="s">
        <v>20</v>
      </c>
      <c r="B30" s="36" t="str">
        <f>IFERROR(__xludf.DUMMYFUNCTION("GOOGLEFINANCE(A30,""name"")"),"State Street Cons Staples Sel Sec SPDR Inc ETF")</f>
        <v>State Street Cons Staples Sel Sec SPDR Inc ETF</v>
      </c>
      <c r="C30" s="45">
        <f>IFERROR(__xludf.DUMMYFUNCTION("GOOGLEFINANCE(A30,""price"")"),82.91)</f>
        <v>82.91</v>
      </c>
      <c r="D30" s="46">
        <f>IFERROR(__xludf.DUMMYFUNCTION("GOOGLEFINANCE(A30,""changepct"")"),0.78)</f>
        <v>0.78</v>
      </c>
      <c r="E30" s="47">
        <f>IFERROR(__xludf.DUMMYFUNCTION(" ((GOOGLEFINANCE(A30,""price"") - INDEX(GOOGLEFINANCE(A30,""price"",TODAY()-7),2,2)) / INDEX(GOOGLEFINANCE(A30,""price"",TODAY()-7),2,2))
"),0.006677999028654652)</f>
        <v>0.006677999029</v>
      </c>
      <c r="F30" s="47">
        <f>IFERROR(__xludf.DUMMYFUNCTION(" ((GOOGLEFINANCE(A30,""price"") - INDEX(GOOGLEFINANCE(A30,""price"",TODAY()-30),2,2)) / INDEX(GOOGLEFINANCE(A30,""price"",TODAY()-30),2,2))
"),0.05982359708551697)</f>
        <v>0.05982359709</v>
      </c>
      <c r="G30" s="48">
        <f>IFERROR(__xludf.DUMMYFUNCTION(" ((GOOGLEFINANCE(A30,""price"") - INDEX(GOOGLEFINANCE(A30,""price"",TODAY()-90),2,2)) / INDEX(GOOGLEFINANCE(A30,""price"",TODAY()-90),2,2))"),0.04657914668013125)</f>
        <v>0.04657914668</v>
      </c>
      <c r="H30" s="48">
        <f>IFERROR(__xludf.DUMMYFUNCTION(" ((GOOGLEFINANCE(A30,""price"") - INDEX(GOOGLEFINANCE(A30,""price"",TODAY()-182),2,2)) / INDEX(GOOGLEFINANCE(A30,""price"",TODAY()-182),2,2))"),0.02789486734440863)</f>
        <v>0.02789486734</v>
      </c>
      <c r="I30" s="20">
        <f>IFERROR(__xludf.DUMMYFUNCTION("(GOOGLEFINANCE(A30,""price"")-INDEX(GOOGLEFINANCE(A30,""price"",""01-01-""&amp;YEAR(TODAY())),2,2))/INDEX(GOOGLEFINANCE(A30,""price"",""01-01-""&amp;YEAR(TODAY())),2,2)"),0.06719011455785814)</f>
        <v>0.06719011456</v>
      </c>
      <c r="J30" s="47">
        <f>IFERROR(__xludf.DUMMYFUNCTION(" ((GOOGLEFINANCE(A30,""price"") - INDEX(GOOGLEFINANCE(A30,""price"",TODAY()-365),2,2)) / INDEX(GOOGLEFINANCE(A30,""price"",TODAY()-365),2,2))
"),0.0643132220795891)</f>
        <v>0.06431322208</v>
      </c>
      <c r="K30" s="48"/>
      <c r="L30" s="48"/>
      <c r="M30" s="49"/>
      <c r="N30" s="49"/>
      <c r="O30" s="49"/>
      <c r="P30" s="20"/>
    </row>
    <row r="31">
      <c r="A31" s="25" t="s">
        <v>21</v>
      </c>
      <c r="B31" s="36" t="str">
        <f>IFERROR(__xludf.DUMMYFUNCTION("GOOGLEFINANCE(A31,""name"")"),"State Street Industrial Select Sector SPDR ETF")</f>
        <v>State Street Industrial Select Sector SPDR ETF</v>
      </c>
      <c r="C31" s="45">
        <f>IFERROR(__xludf.DUMMYFUNCTION("GOOGLEFINANCE(A31,""price"")"),164.22)</f>
        <v>164.22</v>
      </c>
      <c r="D31" s="46">
        <f>IFERROR(__xludf.DUMMYFUNCTION("GOOGLEFINANCE(A31,""changepct"")"),-0.77)</f>
        <v>-0.77</v>
      </c>
      <c r="E31" s="47">
        <f>IFERROR(__xludf.DUMMYFUNCTION(" ((GOOGLEFINANCE(A31,""price"") - INDEX(GOOGLEFINANCE(A31,""price"",TODAY()-7),2,2)) / INDEX(GOOGLEFINANCE(A31,""price"",TODAY()-7),2,2))
"),0.004219409282700408)</f>
        <v>0.004219409283</v>
      </c>
      <c r="F31" s="47">
        <f>IFERROR(__xludf.DUMMYFUNCTION(" ((GOOGLEFINANCE(A31,""price"") - INDEX(GOOGLEFINANCE(A31,""price"",TODAY()-30),2,2)) / INDEX(GOOGLEFINANCE(A31,""price"",TODAY()-30),2,2))
"),0.044590038801602894)</f>
        <v>0.0445900388</v>
      </c>
      <c r="G31" s="48">
        <f>IFERROR(__xludf.DUMMYFUNCTION(" ((GOOGLEFINANCE(A31,""price"") - INDEX(GOOGLEFINANCE(A31,""price"",TODAY()-90),2,2)) / INDEX(GOOGLEFINANCE(A31,""price"",TODAY()-90),2,2))"),0.05411130367802816)</f>
        <v>0.05411130368</v>
      </c>
      <c r="H31" s="48">
        <f>IFERROR(__xludf.DUMMYFUNCTION(" ((GOOGLEFINANCE(A31,""price"") - INDEX(GOOGLEFINANCE(A31,""price"",TODAY()-182),2,2)) / INDEX(GOOGLEFINANCE(A31,""price"",TODAY()-182),2,2))"),0.06284382887838981)</f>
        <v>0.06284382888</v>
      </c>
      <c r="I31" s="20">
        <f>IFERROR(__xludf.DUMMYFUNCTION("(GOOGLEFINANCE(A31,""price"")-INDEX(GOOGLEFINANCE(A31,""price"",""01-01-""&amp;YEAR(TODAY())),2,2))/INDEX(GOOGLEFINANCE(A31,""price"",""01-01-""&amp;YEAR(TODAY())),2,2)"),0.03949867071781244)</f>
        <v>0.03949867072</v>
      </c>
      <c r="J31" s="47">
        <f>IFERROR(__xludf.DUMMYFUNCTION(" ((GOOGLEFINANCE(A31,""price"") - INDEX(GOOGLEFINANCE(A31,""price"",TODAY()-365),2,2)) / INDEX(GOOGLEFINANCE(A31,""price"",TODAY()-365),2,2))
"),0.1641029276245836)</f>
        <v>0.1641029276</v>
      </c>
      <c r="K31" s="48"/>
      <c r="L31" s="48"/>
      <c r="M31" s="49"/>
      <c r="N31" s="49"/>
      <c r="O31" s="49"/>
      <c r="P31" s="20"/>
    </row>
    <row r="32">
      <c r="A32" s="25" t="s">
        <v>22</v>
      </c>
      <c r="B32" s="36" t="str">
        <f>IFERROR(__xludf.DUMMYFUNCTION("GOOGLEFINANCE(A32,""name"")"),"State Street Energy Select Sector SPDR ETF")</f>
        <v>State Street Energy Select Sector SPDR ETF</v>
      </c>
      <c r="C32" s="45">
        <f>IFERROR(__xludf.DUMMYFUNCTION("GOOGLEFINANCE(A32,""price"")"),49.19)</f>
        <v>49.19</v>
      </c>
      <c r="D32" s="46">
        <f>IFERROR(__xludf.DUMMYFUNCTION("GOOGLEFINANCE(A32,""changepct"")"),0.57)</f>
        <v>0.57</v>
      </c>
      <c r="E32" s="47">
        <f>IFERROR(__xludf.DUMMYFUNCTION(" ((GOOGLEFINANCE(A32,""price"") - INDEX(GOOGLEFINANCE(A32,""price"",TODAY()-7),2,2)) / INDEX(GOOGLEFINANCE(A32,""price"",TODAY()-7),2,2))
"),0.03340336134453774)</f>
        <v>0.03340336134</v>
      </c>
      <c r="F32" s="47">
        <f>IFERROR(__xludf.DUMMYFUNCTION(" ((GOOGLEFINANCE(A32,""price"") - INDEX(GOOGLEFINANCE(A32,""price"",TODAY()-30),2,2)) / INDEX(GOOGLEFINANCE(A32,""price"",TODAY()-30),2,2))
"),0.11289592760180983)</f>
        <v>0.1128959276</v>
      </c>
      <c r="G32" s="48">
        <f>IFERROR(__xludf.DUMMYFUNCTION(" ((GOOGLEFINANCE(A32,""price"") - INDEX(GOOGLEFINANCE(A32,""price"",TODAY()-90),2,2)) / INDEX(GOOGLEFINANCE(A32,""price"",TODAY()-90),2,2))"),0.11440869959220655)</f>
        <v>0.1144086996</v>
      </c>
      <c r="H32" s="48">
        <f>IFERROR(__xludf.DUMMYFUNCTION(" ((GOOGLEFINANCE(A32,""price"") - INDEX(GOOGLEFINANCE(A32,""price"",TODAY()-182),2,2)) / INDEX(GOOGLEFINANCE(A32,""price"",TODAY()-182),2,2))"),0.11668558456299662)</f>
        <v>0.1166855846</v>
      </c>
      <c r="I32" s="20">
        <f>IFERROR(__xludf.DUMMYFUNCTION("(GOOGLEFINANCE(A32,""price"")-INDEX(GOOGLEFINANCE(A32,""price"",""01-01-""&amp;YEAR(TODAY())),2,2))/INDEX(GOOGLEFINANCE(A32,""price"",""01-01-""&amp;YEAR(TODAY())),2,2)"),0.07754654983570644)</f>
        <v>0.07754654984</v>
      </c>
      <c r="J32" s="47">
        <f>IFERROR(__xludf.DUMMYFUNCTION(" ((GOOGLEFINANCE(A32,""price"") - INDEX(GOOGLEFINANCE(A32,""price"",TODAY()-365),2,2)) / INDEX(GOOGLEFINANCE(A32,""price"",TODAY()-365),2,2))
"),0.07731055628558917)</f>
        <v>0.07731055629</v>
      </c>
      <c r="K32" s="48"/>
      <c r="L32" s="48"/>
      <c r="M32" s="49"/>
      <c r="N32" s="49"/>
      <c r="O32" s="49"/>
      <c r="P32" s="20"/>
    </row>
    <row r="33">
      <c r="A33" s="14" t="s">
        <v>23</v>
      </c>
      <c r="B33" s="36" t="str">
        <f>IFERROR(__xludf.DUMMYFUNCTION("GOOGLEFINANCE(A33,""name"")"),"State Street Materials Select Sector SPDR ETF")</f>
        <v>State Street Materials Select Sector SPDR ETF</v>
      </c>
      <c r="C33" s="45">
        <f>IFERROR(__xludf.DUMMYFUNCTION("GOOGLEFINANCE(A33,""price"")"),49.97)</f>
        <v>49.97</v>
      </c>
      <c r="D33" s="46">
        <f>IFERROR(__xludf.DUMMYFUNCTION("GOOGLEFINANCE(A33,""changepct"")"),0.91)</f>
        <v>0.91</v>
      </c>
      <c r="E33" s="47">
        <f>IFERROR(__xludf.DUMMYFUNCTION(" ((GOOGLEFINANCE(A33,""price"") - INDEX(GOOGLEFINANCE(A33,""price"",TODAY()-7),2,2)) / INDEX(GOOGLEFINANCE(A33,""price"",TODAY()-7),2,2))
"),0.03693712388462339)</f>
        <v>0.03693712388</v>
      </c>
      <c r="F33" s="47">
        <f>IFERROR(__xludf.DUMMYFUNCTION(" ((GOOGLEFINANCE(A33,""price"") - INDEX(GOOGLEFINANCE(A33,""price"",TODAY()-30),2,2)) / INDEX(GOOGLEFINANCE(A33,""price"",TODAY()-30),2,2))
"),0.08371286055085664)</f>
        <v>0.08371286055</v>
      </c>
      <c r="G33" s="48">
        <f>IFERROR(__xludf.DUMMYFUNCTION(" ((GOOGLEFINANCE(A33,""price"") - INDEX(GOOGLEFINANCE(A33,""price"",TODAY()-90),2,2)) / INDEX(GOOGLEFINANCE(A33,""price"",TODAY()-90),2,2))"),0.12317374690941778)</f>
        <v>0.1231737469</v>
      </c>
      <c r="H33" s="48">
        <f>IFERROR(__xludf.DUMMYFUNCTION(" ((GOOGLEFINANCE(A33,""price"") - INDEX(GOOGLEFINANCE(A33,""price"",TODAY()-182),2,2)) / INDEX(GOOGLEFINANCE(A33,""price"",TODAY()-182),2,2))"),0.09775922671353242)</f>
        <v>0.09775922671</v>
      </c>
      <c r="I33" s="20">
        <f>IFERROR(__xludf.DUMMYFUNCTION("(GOOGLEFINANCE(A33,""price"")-INDEX(GOOGLEFINANCE(A33,""price"",""01-01-""&amp;YEAR(TODAY())),2,2))/INDEX(GOOGLEFINANCE(A33,""price"",""01-01-""&amp;YEAR(TODAY())),2,2)"),0.08347788378143976)</f>
        <v>0.08347788378</v>
      </c>
      <c r="J33" s="47">
        <f>IFERROR(__xludf.DUMMYFUNCTION(" ((GOOGLEFINANCE(A33,""price"") - INDEX(GOOGLEFINANCE(A33,""price"",TODAY()-365),2,2)) / INDEX(GOOGLEFINANCE(A33,""price"",TODAY()-365),2,2))
"),0.12292134831460672)</f>
        <v>0.1229213483</v>
      </c>
      <c r="K33" s="48"/>
      <c r="L33" s="48"/>
      <c r="M33" s="48"/>
      <c r="N33" s="49"/>
      <c r="O33" s="49"/>
      <c r="P33" s="20"/>
    </row>
    <row r="34">
      <c r="A34" s="25" t="s">
        <v>24</v>
      </c>
      <c r="B34" s="36" t="str">
        <f>IFERROR(__xludf.DUMMYFUNCTION("GOOGLEFINANCE(A34,""name"")"),"State Street Utilities Select Sector SPDR ETF")</f>
        <v>State Street Utilities Select Sector SPDR ETF</v>
      </c>
      <c r="C34" s="45">
        <f>IFERROR(__xludf.DUMMYFUNCTION("GOOGLEFINANCE(A34,""price"")"),42.56)</f>
        <v>42.56</v>
      </c>
      <c r="D34" s="46">
        <f>IFERROR(__xludf.DUMMYFUNCTION("GOOGLEFINANCE(A34,""changepct"")"),-0.35)</f>
        <v>-0.35</v>
      </c>
      <c r="E34" s="47">
        <f>IFERROR(__xludf.DUMMYFUNCTION(" ((GOOGLEFINANCE(A34,""price"") - INDEX(GOOGLEFINANCE(A34,""price"",TODAY()-7),2,2)) / INDEX(GOOGLEFINANCE(A34,""price"",TODAY()-7),2,2))
"),-0.009310986964618215)</f>
        <v>-0.009310986965</v>
      </c>
      <c r="F34" s="47">
        <f>IFERROR(__xludf.DUMMYFUNCTION(" ((GOOGLEFINANCE(A34,""price"") - INDEX(GOOGLEFINANCE(A34,""price"",TODAY()-30),2,2)) / INDEX(GOOGLEFINANCE(A34,""price"",TODAY()-30),2,2))
"),-0.0051425899953248914)</f>
        <v>-0.005142589995</v>
      </c>
      <c r="G34" s="48">
        <f>IFERROR(__xludf.DUMMYFUNCTION(" ((GOOGLEFINANCE(A34,""price"") - INDEX(GOOGLEFINANCE(A34,""price"",TODAY()-90),2,2)) / INDEX(GOOGLEFINANCE(A34,""price"",TODAY()-90),2,2))"),-0.0711479703186381)</f>
        <v>-0.07114797032</v>
      </c>
      <c r="H34" s="48">
        <f>IFERROR(__xludf.DUMMYFUNCTION(" ((GOOGLEFINANCE(A34,""price"") - INDEX(GOOGLEFINANCE(A34,""price"",TODAY()-182),2,2)) / INDEX(GOOGLEFINANCE(A34,""price"",TODAY()-182),2,2))"),0.01793829227457546)</f>
        <v>0.01793829227</v>
      </c>
      <c r="I34" s="49">
        <f>IFERROR(__xludf.DUMMYFUNCTION("(GOOGLEFINANCE(A34,""price"")-INDEX(GOOGLEFINANCE(A34,""price"",""01-01-""&amp;YEAR(TODAY())),2,2))/INDEX(GOOGLEFINANCE(A34,""price"",""01-01-""&amp;YEAR(TODAY())),2,2)"),-0.014358499305233845)</f>
        <v>-0.01435849931</v>
      </c>
      <c r="J34" s="47">
        <f>IFERROR(__xludf.DUMMYFUNCTION(" ((GOOGLEFINANCE(A34,""price"") - INDEX(GOOGLEFINANCE(A34,""price"",TODAY()-365),2,2)) / INDEX(GOOGLEFINANCE(A34,""price"",TODAY()-365),2,2))
"),0.07096124811273277)</f>
        <v>0.07096124811</v>
      </c>
      <c r="K34" s="48"/>
      <c r="L34" s="48"/>
      <c r="M34" s="48"/>
      <c r="N34" s="49"/>
      <c r="O34" s="49"/>
      <c r="P34" s="20"/>
    </row>
    <row r="35">
      <c r="A35" s="14" t="s">
        <v>25</v>
      </c>
      <c r="B35" s="36" t="str">
        <f>IFERROR(__xludf.DUMMYFUNCTION("GOOGLEFINANCE(A35,""name"")"),"State Street Real Estate Select Sector SPDR ETF")</f>
        <v>State Street Real Estate Select Sector SPDR ETF</v>
      </c>
      <c r="C35" s="45">
        <f>IFERROR(__xludf.DUMMYFUNCTION("GOOGLEFINANCE(A35,""price"")"),41.25)</f>
        <v>41.25</v>
      </c>
      <c r="D35" s="46">
        <f>IFERROR(__xludf.DUMMYFUNCTION("GOOGLEFINANCE(A35,""changepct"")"),0.27)</f>
        <v>0.27</v>
      </c>
      <c r="E35" s="47">
        <f>IFERROR(__xludf.DUMMYFUNCTION(" ((GOOGLEFINANCE(A35,""price"") - INDEX(GOOGLEFINANCE(A35,""price"",TODAY()-7),2,2)) / INDEX(GOOGLEFINANCE(A35,""price"",TODAY()-7),2,2))
"),-0.0036231884057970672)</f>
        <v>-0.003623188406</v>
      </c>
      <c r="F35" s="47">
        <f>IFERROR(__xludf.DUMMYFUNCTION(" ((GOOGLEFINANCE(A35,""price"") - INDEX(GOOGLEFINANCE(A35,""price"",TODAY()-30),2,2)) / INDEX(GOOGLEFINANCE(A35,""price"",TODAY()-30),2,2))
"),0.018015794669299035)</f>
        <v>0.01801579467</v>
      </c>
      <c r="G35" s="48">
        <f>IFERROR(__xludf.DUMMYFUNCTION(" ((GOOGLEFINANCE(A35,""price"") - INDEX(GOOGLEFINANCE(A35,""price"",TODAY()-90),2,2)) / INDEX(GOOGLEFINANCE(A35,""price"",TODAY()-90),2,2))"),-0.034861956013102526)</f>
        <v>-0.03486195601</v>
      </c>
      <c r="H35" s="48">
        <f>IFERROR(__xludf.DUMMYFUNCTION(" ((GOOGLEFINANCE(A35,""price"") - INDEX(GOOGLEFINANCE(A35,""price"",TODAY()-182),2,2)) / INDEX(GOOGLEFINANCE(A35,""price"",TODAY()-182),2,2))"),-0.01902497027348388)</f>
        <v>-0.01902497027</v>
      </c>
      <c r="I35" s="20">
        <f>IFERROR(__xludf.DUMMYFUNCTION("(GOOGLEFINANCE(A35,""price"")-INDEX(GOOGLEFINANCE(A35,""price"",""01-01-""&amp;YEAR(TODAY())),2,2))/INDEX(GOOGLEFINANCE(A35,""price"",""01-01-""&amp;YEAR(TODAY())),2,2)"),0.021545319465081657)</f>
        <v>0.02154531947</v>
      </c>
      <c r="J35" s="47">
        <f>IFERROR(__xludf.DUMMYFUNCTION(" ((GOOGLEFINANCE(A35,""price"") - INDEX(GOOGLEFINANCE(A35,""price"",TODAY()-365),2,2)) / INDEX(GOOGLEFINANCE(A35,""price"",TODAY()-365),2,2))
"),-0.007220216606498127)</f>
        <v>-0.007220216606</v>
      </c>
      <c r="K35" s="48"/>
      <c r="L35" s="48"/>
      <c r="M35" s="48"/>
      <c r="N35" s="49"/>
      <c r="O35" s="49"/>
      <c r="P35" s="20"/>
    </row>
    <row r="36">
      <c r="A36" s="272" t="s">
        <v>26</v>
      </c>
      <c r="B36" s="52" t="str">
        <f>IFERROR(__xludf.DUMMYFUNCTION("GOOGLEFINANCE(A36,""name"")"),"SPDR S&amp;P 500 ETF Trust")</f>
        <v>SPDR S&amp;P 500 ETF Trust</v>
      </c>
      <c r="C36" s="53">
        <f>IFERROR(__xludf.DUMMYFUNCTION("GOOGLEFINANCE(A36,""price"")"),689.23)</f>
        <v>689.23</v>
      </c>
      <c r="D36" s="46">
        <f>IFERROR(__xludf.DUMMYFUNCTION("GOOGLEFINANCE(A36,""changepct"")"),0.04)</f>
        <v>0.04</v>
      </c>
      <c r="E36" s="54">
        <f>IFERROR(__xludf.DUMMYFUNCTION(" ((GOOGLEFINANCE(A36,""price"") - INDEX(GOOGLEFINANCE(A36,""price"",TODAY()-7),2,2)) / INDEX(GOOGLEFINANCE(A36,""price"",TODAY()-7),2,2))
"),0.01719354172201065)</f>
        <v>0.01719354172</v>
      </c>
      <c r="F36" s="54">
        <f>IFERROR(__xludf.DUMMYFUNCTION(" ((GOOGLEFINANCE(A36,""price"") - INDEX(GOOGLEFINANCE(A36,""price"",TODAY()-30),2,2)) / INDEX(GOOGLEFINANCE(A36,""price"",TODAY()-30),2,2))
"),-0.0015645144934883274)</f>
        <v>-0.001564514493</v>
      </c>
      <c r="G36" s="54">
        <f>IFERROR(__xludf.DUMMYFUNCTION(" ((GOOGLEFINANCE(A36,""price"") - INDEX(GOOGLEFINANCE(A36,""price"",TODAY()-90),2,2)) / INDEX(GOOGLEFINANCE(A36,""price"",TODAY()-90),2,2))"),0.005822777421049572)</f>
        <v>0.005822777421</v>
      </c>
      <c r="H36" s="54">
        <f>IFERROR(__xludf.DUMMYFUNCTION(" ((GOOGLEFINANCE(A36,""price"") - INDEX(GOOGLEFINANCE(A36,""price"",TODAY()-182),2,2)) / INDEX(GOOGLEFINANCE(A36,""price"",TODAY()-182),2,2))"),0.0820956448017081)</f>
        <v>0.0820956448</v>
      </c>
      <c r="I36" s="55">
        <f>IFERROR(__xludf.DUMMYFUNCTION("(GOOGLEFINANCE(A36,""price"")-INDEX(GOOGLEFINANCE(A36,""price"",""01-01-""&amp;YEAR(TODAY())),2,2))/INDEX(GOOGLEFINANCE(A36,""price"",""01-01-""&amp;YEAR(TODAY())),2,2)"),0.008870412927968236)</f>
        <v>0.008870412928</v>
      </c>
      <c r="J36" s="54">
        <f>IFERROR(__xludf.DUMMYFUNCTION(" ((GOOGLEFINANCE(A36,""price"") - INDEX(GOOGLEFINANCE(A36,""price"",TODAY()-365),2,2)) / INDEX(GOOGLEFINANCE(A36,""price"",TODAY()-365),2,2))
"),0.13365791075217526)</f>
        <v>0.1336579108</v>
      </c>
      <c r="K36" s="273"/>
      <c r="L36" s="273"/>
      <c r="M36" s="273"/>
      <c r="N36" s="274"/>
      <c r="O36" s="20"/>
      <c r="P36" s="20"/>
    </row>
    <row r="37">
      <c r="A37" s="275" t="s">
        <v>427</v>
      </c>
      <c r="B37" s="276" t="str">
        <f>IFERROR(__xludf.DUMMYFUNCTION("GOOGLEFINANCE(A37,""name"")"),"Invesco QQQ Trust, Series 1")</f>
        <v>Invesco QQQ Trust, Series 1</v>
      </c>
      <c r="C37" s="277">
        <f>IFERROR(__xludf.DUMMYFUNCTION("GOOGLEFINANCE(A37,""price"")"),622.72)</f>
        <v>622.72</v>
      </c>
      <c r="D37" s="278">
        <f>IFERROR(__xludf.DUMMYFUNCTION("GOOGLEFINANCE(A37,""changepct"")"),0.32)</f>
        <v>0.32</v>
      </c>
      <c r="E37" s="279">
        <f>IFERROR(__xludf.DUMMYFUNCTION(" ((GOOGLEFINANCE(A37,""price"") - INDEX(GOOGLEFINANCE(A37,""price"",TODAY()-7),2,2)) / INDEX(GOOGLEFINANCE(A37,""price"",TODAY()-7),2,2))
"),0.024109462881952575)</f>
        <v>0.02410946288</v>
      </c>
      <c r="F37" s="279">
        <f>IFERROR(__xludf.DUMMYFUNCTION(" ((GOOGLEFINANCE(A37,""price"") - INDEX(GOOGLEFINANCE(A37,""price"",TODAY()-30),2,2)) / INDEX(GOOGLEFINANCE(A37,""price"",TODAY()-30),2,2))
"),-0.0018753305871226644)</f>
        <v>-0.001875330587</v>
      </c>
      <c r="G37" s="279">
        <f>IFERROR(__xludf.DUMMYFUNCTION(" ((GOOGLEFINANCE(A37,""price"") - INDEX(GOOGLEFINANCE(A37,""price"",TODAY()-90),2,2)) / INDEX(GOOGLEFINANCE(A37,""price"",TODAY()-90),2,2))"),-0.00854973013421644)</f>
        <v>-0.008549730134</v>
      </c>
      <c r="H37" s="279">
        <f>IFERROR(__xludf.DUMMYFUNCTION(" ((GOOGLEFINANCE(A37,""price"") - INDEX(GOOGLEFINANCE(A37,""price"",TODAY()-182),2,2)) / INDEX(GOOGLEFINANCE(A37,""price"",TODAY()-182),2,2))"),0.09606787059527588)</f>
        <v>0.0960678706</v>
      </c>
      <c r="I37" s="280">
        <f>IFERROR(__xludf.DUMMYFUNCTION("(GOOGLEFINANCE(A37,""price"")-INDEX(GOOGLEFINANCE(A37,""price"",""01-01-""&amp;YEAR(TODAY())),2,2))/INDEX(GOOGLEFINANCE(A37,""price"",""01-01-""&amp;YEAR(TODAY())),2,2)"),0.01565762004175369)</f>
        <v>0.01565762004</v>
      </c>
      <c r="J37" s="279">
        <f>IFERROR(__xludf.DUMMYFUNCTION(" ((GOOGLEFINANCE(A37,""price"") - INDEX(GOOGLEFINANCE(A37,""price"",TODAY()-365),2,2)) / INDEX(GOOGLEFINANCE(A37,""price"",TODAY()-365),2,2))
"),0.17576421275229884)</f>
        <v>0.1757642128</v>
      </c>
    </row>
    <row r="38">
      <c r="A38" s="275" t="s">
        <v>428</v>
      </c>
      <c r="B38" s="276" t="str">
        <f>IFERROR(__xludf.DUMMYFUNCTION("GOOGLEFINANCE(A38,""name"")"),"Russell 2000 Index")</f>
        <v>Russell 2000 Index</v>
      </c>
      <c r="C38" s="277">
        <f>IFERROR(__xludf.DUMMYFUNCTION("GOOGLEFINANCE(A38,""price"")"),2669.16)</f>
        <v>2669.16</v>
      </c>
      <c r="D38" s="278">
        <f>IFERROR(__xludf.DUMMYFUNCTION("GOOGLEFINANCE(A38,""changepct"")"),-1.82)</f>
        <v>-1.82</v>
      </c>
      <c r="E38" s="279">
        <f>IFERROR(__xludf.DUMMYFUNCTION(" ((GOOGLEFINANCE(A38,""price"") - INDEX(GOOGLEFINANCE(A38,""price"",TODAY()-7),2,2)) / INDEX(GOOGLEFINANCE(A38,""price"",TODAY()-7),2,2))
"),0.008996885112045138)</f>
        <v>0.008996885112</v>
      </c>
      <c r="F38" s="279">
        <f>IFERROR(__xludf.DUMMYFUNCTION(" ((GOOGLEFINANCE(A38,""price"") - INDEX(GOOGLEFINANCE(A38,""price"",TODAY()-30),2,2)) / INDEX(GOOGLEFINANCE(A38,""price"",TODAY()-30),2,2))
"),0.05319312644267759)</f>
        <v>0.05319312644</v>
      </c>
      <c r="G38" s="279">
        <f>IFERROR(__xludf.DUMMYFUNCTION(" ((GOOGLEFINANCE(A38,""price"") - INDEX(GOOGLEFINANCE(A38,""price"",TODAY()-90),2,2)) / INDEX(GOOGLEFINANCE(A38,""price"",TODAY()-90),2,2))"),0.059005570455952054)</f>
        <v>0.05900557046</v>
      </c>
      <c r="H38" s="279">
        <f>IFERROR(__xludf.DUMMYFUNCTION(" ((GOOGLEFINANCE(A38,""price"") - INDEX(GOOGLEFINANCE(A38,""price"",TODAY()-182),2,2)) / INDEX(GOOGLEFINANCE(A38,""price"",TODAY()-182),2,2))"),0.18275557997633737)</f>
        <v>0.18275558</v>
      </c>
      <c r="I38" s="280">
        <f>IFERROR(__xludf.DUMMYFUNCTION("(GOOGLEFINANCE(A38,""price"")-INDEX(GOOGLEFINANCE(A38,""price"",""01-01-""&amp;YEAR(TODAY())),2,2))/INDEX(GOOGLEFINANCE(A38,""price"",""01-01-""&amp;YEAR(TODAY())),2,2)"),0.06416502539649635)</f>
        <v>0.0641650254</v>
      </c>
      <c r="J38" s="279">
        <f>IFERROR(__xludf.DUMMYFUNCTION(" ((GOOGLEFINANCE(A38,""price"") - INDEX(GOOGLEFINANCE(A38,""price"",TODAY()-365),2,2)) / INDEX(GOOGLEFINANCE(A38,""price"",TODAY()-365),2,2))
"),0.15661209668333526)</f>
        <v>0.1566120967</v>
      </c>
    </row>
  </sheetData>
  <conditionalFormatting sqref="E25:H38 J25:J38 K25:L36 M33:M36">
    <cfRule type="cellIs" dxfId="0" priority="1" operator="lessThan">
      <formula>0</formula>
    </cfRule>
  </conditionalFormatting>
  <conditionalFormatting sqref="D25:D38">
    <cfRule type="cellIs" dxfId="1" priority="2" operator="lessThan">
      <formula>0</formula>
    </cfRule>
  </conditionalFormatting>
  <conditionalFormatting sqref="D25:D38">
    <cfRule type="cellIs" dxfId="2" priority="3" operator="greaterThan">
      <formula>0</formula>
    </cfRule>
  </conditionalFormatting>
  <conditionalFormatting sqref="I21:M21">
    <cfRule type="cellIs" dxfId="3" priority="4" operator="lessThan">
      <formula>1</formula>
    </cfRule>
  </conditionalFormatting>
  <conditionalFormatting sqref="I21:M21">
    <cfRule type="cellIs" dxfId="4" priority="5" operator="greaterThan">
      <formula>0</formula>
    </cfRule>
  </conditionalFormatting>
  <conditionalFormatting sqref="N21">
    <cfRule type="cellIs" dxfId="5" priority="6" operator="greaterThanOrEqual">
      <formula>1</formula>
    </cfRule>
  </conditionalFormatting>
  <conditionalFormatting sqref="N21">
    <cfRule type="cellIs" dxfId="6" priority="7" operator="lessThan">
      <formula>1</formula>
    </cfRule>
  </conditionalFormatting>
  <conditionalFormatting sqref="B9:G22">
    <cfRule type="cellIs" dxfId="3" priority="8" operator="lessThan">
      <formula>0</formula>
    </cfRule>
  </conditionalFormatting>
  <conditionalFormatting sqref="H9:H22">
    <cfRule type="cellIs" dxfId="2" priority="9" operator="greaterThan">
      <formula>"1%"</formula>
    </cfRule>
  </conditionalFormatting>
  <conditionalFormatting sqref="H9:H22">
    <cfRule type="cellIs" dxfId="7" priority="10" operator="lessThan">
      <formula>"0.00%"</formula>
    </cfRule>
  </conditionalFormatting>
  <conditionalFormatting sqref="J9:J19">
    <cfRule type="colorScale" priority="11">
      <colorScale>
        <cfvo type="formula" val="1"/>
        <cfvo type="formula" val="6"/>
        <cfvo type="formula" val="11"/>
        <color rgb="FF6AA84F"/>
        <color rgb="FFFFFF00"/>
        <color rgb="FFEA9999"/>
      </colorScale>
    </cfRule>
  </conditionalFormatting>
  <conditionalFormatting sqref="I9:I19">
    <cfRule type="colorScale" priority="12">
      <colorScale>
        <cfvo type="formula" val="0"/>
        <cfvo type="formula" val="2.5"/>
        <cfvo type="formula" val="5"/>
        <color rgb="FFF4CCCC"/>
        <color rgb="FFFFFF00"/>
        <color rgb="FF6AA84F"/>
      </colorScale>
    </cfRule>
  </conditionalFormatting>
  <conditionalFormatting sqref="K9:K19">
    <cfRule type="colorScale" priority="13">
      <colorScale>
        <cfvo type="formula" val="-0.05"/>
        <cfvo type="formula" val="0"/>
        <cfvo type="formula" val="0.05"/>
        <color rgb="FFF4CCCC"/>
        <color rgb="FFFFFFFF"/>
        <color rgb="FF6AA8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